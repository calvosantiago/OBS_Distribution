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410" documentId="13_ncr:1_{0AD06FF4-A909-423F-B378-69C0033412ED}" xr6:coauthVersionLast="47" xr6:coauthVersionMax="47" xr10:uidLastSave="{FB1AB86B-6B86-4C99-BE4B-9750E05ADBE8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27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E2" i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<sst xmlns="http://schemas.openxmlformats.org/spreadsheetml/2006/main" count="118" uniqueCount="24">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</sst>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244.479573842589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4">
        <s v="A1"/>
        <s v="A2"/>
        <s v="B1"/>
        <s v="B2"/>
        <s v="C1"/>
        <s v="C2"/>
        <s v="C4"/>
        <s v="TL"/>
        <m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58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964"/>
  </r>
  <r>
    <x v="0"/>
    <x v="1"/>
    <n v="770"/>
  </r>
  <r>
    <x v="0"/>
    <x v="2"/>
    <n v="926"/>
  </r>
  <r>
    <x v="0"/>
    <x v="3"/>
    <n v="906"/>
  </r>
  <r>
    <x v="0"/>
    <x v="4"/>
    <n v="1002"/>
  </r>
  <r>
    <x v="0"/>
    <x v="5"/>
    <n v="713"/>
  </r>
  <r>
    <x v="0"/>
    <x v="6"/>
    <n v="530"/>
  </r>
  <r>
    <x v="0"/>
    <x v="7"/>
    <n v="5811"/>
  </r>
  <r>
    <x v="1"/>
    <x v="8"/>
    <m/>
  </r>
  <r>
    <x v="2"/>
    <x v="9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8"/>
    <m/>
  </r>
  <r>
    <x v="2"/>
    <x v="7"/>
    <n v="0"/>
  </r>
  <r>
    <x v="1"/>
    <x v="8"/>
    <m/>
  </r>
  <r>
    <x v="3"/>
    <x v="10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8"/>
    <m/>
  </r>
  <r>
    <x v="3"/>
    <x v="7"/>
    <n v="0"/>
  </r>
  <r>
    <x v="1"/>
    <x v="8"/>
    <m/>
  </r>
  <r>
    <x v="4"/>
    <x v="11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8"/>
    <m/>
  </r>
  <r>
    <x v="4"/>
    <x v="7"/>
    <n v="0"/>
  </r>
  <r>
    <x v="1"/>
    <x v="8"/>
    <m/>
  </r>
  <r>
    <x v="5"/>
    <x v="12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8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2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W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5">
        <item x="0"/>
        <item x="1"/>
        <item x="2"/>
        <item x="3"/>
        <item x="4"/>
        <item x="5"/>
        <item h="1" m="1" x="13"/>
        <item h="1" x="9"/>
        <item h="1" x="10"/>
        <item h="1" x="11"/>
        <item h="1" x="12"/>
        <item h="1" x="7"/>
        <item h="1" x="8"/>
        <item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13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3" sqref="O23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19" width="4.140625" bestFit="1" customWidth="1"/>
    <col min="20" max="20" width="5.140625" bestFit="1" customWidth="1"/>
    <col min="21" max="22" width="4.140625" bestFit="1" customWidth="1"/>
    <col min="23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3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3">
      <c r="A2" s="5" t="s">
        <v>0</v>
      </c>
      <c r="B2" s="6" t="s">
        <v>1</v>
      </c>
      <c r="C2" s="7" t="s">
        <v>2</v>
      </c>
      <c r="D2" s="8">
        <v>46238</v>
      </c>
      <c r="E2" s="8">
        <f>+D2+1</f>
        <v>46239</v>
      </c>
      <c r="F2" s="8">
        <f t="shared" ref="F2:G2" si="0">+E2+1</f>
        <v>46240</v>
      </c>
      <c r="G2" s="8">
        <f t="shared" si="0"/>
        <v>46241</v>
      </c>
      <c r="H2" s="8">
        <f>+G2+3</f>
        <v>46244</v>
      </c>
      <c r="I2" s="9" t="s">
        <v>3</v>
      </c>
      <c r="J2" s="1"/>
    </row>
    <row r="3" spans="1:23">
      <c r="A3" s="5" t="s">
        <v>1</v>
      </c>
      <c r="B3" s="10" t="s">
        <v>4</v>
      </c>
      <c r="C3" s="11">
        <f>+SUM(D3:H3)</f>
        <v>964</v>
      </c>
      <c r="D3" s="31">
        <v>964</v>
      </c>
      <c r="I3" s="26">
        <f>IFERROR(C3/6/COUNT(D3:H3),0)</f>
        <v>160.66666666666666</v>
      </c>
      <c r="J3" s="3"/>
    </row>
    <row r="4" spans="1:23">
      <c r="A4" s="13" t="s">
        <v>1</v>
      </c>
      <c r="B4" s="14" t="s">
        <v>5</v>
      </c>
      <c r="C4" s="11">
        <f t="shared" ref="C4:C9" si="1">+SUM(D4:H4)</f>
        <v>770</v>
      </c>
      <c r="D4" s="31">
        <v>770</v>
      </c>
      <c r="I4" s="26">
        <f t="shared" ref="I4:I10" si="2">IFERROR(C4/6/COUNT(D4:H4),0)</f>
        <v>128.33333333333334</v>
      </c>
      <c r="J4" s="3"/>
      <c r="O4" s="32" t="s">
        <v>21</v>
      </c>
      <c r="P4" s="32"/>
    </row>
    <row r="5" spans="1:23">
      <c r="A5" s="13" t="s">
        <v>1</v>
      </c>
      <c r="B5" s="10" t="s">
        <v>6</v>
      </c>
      <c r="C5" s="11">
        <f t="shared" si="1"/>
        <v>926</v>
      </c>
      <c r="D5" s="31">
        <v>926</v>
      </c>
      <c r="I5" s="26">
        <f t="shared" si="2"/>
        <v>154.33333333333334</v>
      </c>
      <c r="J5" s="3"/>
    </row>
    <row r="6" spans="1:23">
      <c r="A6" s="13" t="s">
        <v>1</v>
      </c>
      <c r="B6" s="14" t="s">
        <v>7</v>
      </c>
      <c r="C6" s="11">
        <f t="shared" si="1"/>
        <v>906</v>
      </c>
      <c r="D6" s="31">
        <v>906</v>
      </c>
      <c r="I6" s="26">
        <f t="shared" si="2"/>
        <v>151</v>
      </c>
      <c r="J6" s="3"/>
    </row>
    <row r="7" spans="1:23">
      <c r="A7" s="13" t="s">
        <v>1</v>
      </c>
      <c r="B7" s="10" t="s">
        <v>8</v>
      </c>
      <c r="C7" s="11">
        <f t="shared" si="1"/>
        <v>1002</v>
      </c>
      <c r="D7" s="31">
        <v>1002</v>
      </c>
      <c r="I7" s="26">
        <f t="shared" si="2"/>
        <v>167</v>
      </c>
      <c r="J7" s="3"/>
    </row>
    <row r="8" spans="1:23">
      <c r="A8" s="13" t="s">
        <v>1</v>
      </c>
      <c r="B8" s="10" t="s">
        <v>9</v>
      </c>
      <c r="C8" s="11">
        <f t="shared" si="1"/>
        <v>713</v>
      </c>
      <c r="D8" s="31">
        <v>713</v>
      </c>
      <c r="I8" s="26">
        <f t="shared" si="2"/>
        <v>118.83333333333333</v>
      </c>
      <c r="J8" s="3"/>
    </row>
    <row r="9" spans="1:23">
      <c r="A9" s="13" t="s">
        <v>1</v>
      </c>
      <c r="B9" s="15" t="s">
        <v>23</v>
      </c>
      <c r="C9" s="11">
        <f t="shared" si="1"/>
        <v>530</v>
      </c>
      <c r="D9" s="31">
        <v>530</v>
      </c>
      <c r="I9" s="26"/>
      <c r="J9" s="3"/>
    </row>
    <row r="10" spans="1:23">
      <c r="A10" s="13" t="s">
        <v>1</v>
      </c>
      <c r="B10" s="17" t="s">
        <v>10</v>
      </c>
      <c r="C10" s="18">
        <f>SUM(C3:C9)</f>
        <v>5811</v>
      </c>
      <c r="D10" s="19">
        <f>SUM(D3:D9)</f>
        <v>5811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193.7</v>
      </c>
      <c r="J10" s="20"/>
      <c r="O10" s="30" t="s">
        <v>18</v>
      </c>
      <c r="P10" s="30" t="s">
        <v>17</v>
      </c>
    </row>
    <row r="11" spans="1:23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23</v>
      </c>
      <c r="W11" t="s">
        <v>16</v>
      </c>
    </row>
    <row r="12" spans="1:23">
      <c r="A12" s="5" t="s">
        <v>11</v>
      </c>
      <c r="B12" s="6" t="s">
        <v>11</v>
      </c>
      <c r="C12" s="7" t="s">
        <v>10</v>
      </c>
      <c r="D12" s="8">
        <f>+H2+1</f>
        <v>46245</v>
      </c>
      <c r="E12" s="8">
        <f>+D12+1</f>
        <v>46246</v>
      </c>
      <c r="F12" s="8">
        <f t="shared" ref="F12:G12" si="4">+E12+1</f>
        <v>46247</v>
      </c>
      <c r="G12" s="8">
        <f t="shared" si="4"/>
        <v>46248</v>
      </c>
      <c r="H12" s="8">
        <f>+G12+3</f>
        <v>46251</v>
      </c>
      <c r="I12" s="9" t="s">
        <v>3</v>
      </c>
      <c r="J12" s="1"/>
      <c r="O12" s="29" t="s">
        <v>1</v>
      </c>
      <c r="P12" s="35">
        <v>964</v>
      </c>
      <c r="Q12" s="35">
        <v>770</v>
      </c>
      <c r="R12" s="35">
        <v>926</v>
      </c>
      <c r="S12" s="35">
        <v>906</v>
      </c>
      <c r="T12" s="35">
        <v>1002</v>
      </c>
      <c r="U12" s="35">
        <v>713</v>
      </c>
      <c r="V12" s="35">
        <v>530</v>
      </c>
      <c r="W12" s="35">
        <v>5811</v>
      </c>
    </row>
    <row r="13" spans="1:23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/>
      <c r="W13" s="35">
        <v>0</v>
      </c>
    </row>
    <row r="14" spans="1:23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/>
      <c r="W14" s="35">
        <v>0</v>
      </c>
    </row>
    <row r="15" spans="1:23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/>
      <c r="W15" s="35">
        <v>0</v>
      </c>
    </row>
    <row r="16" spans="1:23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/>
      <c r="W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964</v>
      </c>
      <c r="Q17" s="35">
        <v>770</v>
      </c>
      <c r="R17" s="35">
        <v>926</v>
      </c>
      <c r="S17" s="35">
        <v>906</v>
      </c>
      <c r="T17" s="35">
        <v>1002</v>
      </c>
      <c r="U17" s="35">
        <v>713</v>
      </c>
      <c r="V17" s="35">
        <v>530</v>
      </c>
      <c r="W17" s="35">
        <v>5811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46252</v>
      </c>
      <c r="E22" s="8">
        <f>+D22+1</f>
        <v>46253</v>
      </c>
      <c r="F22" s="8">
        <f t="shared" ref="F22:G22" si="8">+E22+1</f>
        <v>46254</v>
      </c>
      <c r="G22" s="8">
        <f t="shared" si="8"/>
        <v>46255</v>
      </c>
      <c r="H22" s="8">
        <f>+G22+3</f>
        <v>46258</v>
      </c>
      <c r="I22" s="9" t="s">
        <v>3</v>
      </c>
      <c r="J22" s="1"/>
      <c r="O22" s="28">
        <v>46241.854166666664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46259</v>
      </c>
      <c r="E32" s="8">
        <f>+D32+1</f>
        <v>46260</v>
      </c>
      <c r="F32" s="8">
        <f t="shared" ref="F32:G32" si="12">+E32+1</f>
        <v>46261</v>
      </c>
      <c r="G32" s="8">
        <f t="shared" si="12"/>
        <v>46262</v>
      </c>
      <c r="H32" s="8">
        <f>+G32+3</f>
        <v>46265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46266</v>
      </c>
      <c r="E42" s="8">
        <f>+D42+1</f>
        <v>46267</v>
      </c>
      <c r="F42" s="8">
        <f t="shared" ref="F42:G42" si="16">+E42+1</f>
        <v>46268</v>
      </c>
      <c r="G42" s="8">
        <f t="shared" si="16"/>
        <v>46269</v>
      </c>
      <c r="H42" s="8">
        <f>+G42+3</f>
        <v>46272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B9C6E1-9ED5-4F9E-A921-9601F6BF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2026-08-10T09:30:35Z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