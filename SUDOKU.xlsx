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78" documentId="13_ncr:1_{0AD06FF4-A909-423F-B378-69C0033412ED}" xr6:coauthVersionLast="47" xr6:coauthVersionMax="47" xr10:uidLastSave="{96B22DE9-845C-4012-9719-3BCEAAC603ED}"/>
  <bookViews>
    <workbookView xWindow="28680" yWindow="-45" windowWidth="29040" windowHeight="15720" xr2:uid="{EF95C2B5-218E-4516-887F-CDE11964293A}"/>
  </bookViews>
  <sheets>
    <sheet name="Estatus diario" sheetId="1" r:id="rId1"/>
  </sheets>
  <calcPr calcId="191029"/>
  <pivotCaches>
    <pivotCache cacheId="13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<sst xmlns="http://schemas.openxmlformats.org/spreadsheetml/2006/main" count="116" uniqueCount="23">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</sst>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48.494425810182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375"/>
  </r>
  <r>
    <x v="0"/>
    <x v="1"/>
    <n v="1092"/>
  </r>
  <r>
    <x v="0"/>
    <x v="2"/>
    <n v="1101"/>
  </r>
  <r>
    <x v="0"/>
    <x v="3"/>
    <n v="1178"/>
  </r>
  <r>
    <x v="0"/>
    <x v="4"/>
    <n v="1346"/>
  </r>
  <r>
    <x v="0"/>
    <x v="5"/>
    <n v="1310"/>
  </r>
  <r>
    <x v="0"/>
    <x v="6"/>
    <m/>
  </r>
  <r>
    <x v="0"/>
    <x v="7"/>
    <n v="7402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13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O23" sqref="O23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1375</v>
      </c>
      <c r="D3" s="31">
        <v>1375</v>
      </c>
      <c r="I3" s="26">
        <f>IFERROR(C3/6/COUNT(D3:H3),0)</f>
        <v>229.16666666666666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1092</v>
      </c>
      <c r="D4" s="31">
        <v>1092</v>
      </c>
      <c r="I4" s="26">
        <f t="shared" ref="I4:I10" si="2">IFERROR(C4/6/COUNT(D4:H4),0)</f>
        <v>182</v>
      </c>
      <c r="J4" s="3"/>
      <c r="O4" s="32" t="s">
        <v>21</v>
      </c>
      <c r="P4" s="32"/>
    </row>
    <row r="5" spans="1:22">
      <c r="A5" s="13" t="s">
        <v>1</v>
      </c>
      <c r="B5" s="10" t="s">
        <v>6</v>
      </c>
      <c r="C5" s="11">
        <f t="shared" si="1"/>
        <v>1101</v>
      </c>
      <c r="D5" s="31">
        <v>1101</v>
      </c>
      <c r="I5" s="26">
        <f t="shared" si="2"/>
        <v>183.5</v>
      </c>
      <c r="J5" s="3"/>
    </row>
    <row r="6" spans="1:22">
      <c r="A6" s="13" t="s">
        <v>1</v>
      </c>
      <c r="B6" s="14" t="s">
        <v>7</v>
      </c>
      <c r="C6" s="11">
        <f t="shared" si="1"/>
        <v>1178</v>
      </c>
      <c r="D6" s="31">
        <v>1178</v>
      </c>
      <c r="I6" s="26">
        <f t="shared" si="2"/>
        <v>196.33333333333334</v>
      </c>
      <c r="J6" s="3"/>
    </row>
    <row r="7" spans="1:22">
      <c r="A7" s="13" t="s">
        <v>1</v>
      </c>
      <c r="B7" s="10" t="s">
        <v>8</v>
      </c>
      <c r="C7" s="11">
        <f t="shared" si="1"/>
        <v>1346</v>
      </c>
      <c r="D7" s="31">
        <v>1346</v>
      </c>
      <c r="I7" s="26">
        <f t="shared" si="2"/>
        <v>224.33333333333334</v>
      </c>
      <c r="J7" s="3"/>
    </row>
    <row r="8" spans="1:22">
      <c r="A8" s="13" t="s">
        <v>1</v>
      </c>
      <c r="B8" s="10" t="s">
        <v>9</v>
      </c>
      <c r="C8" s="11">
        <f t="shared" si="1"/>
        <v>1310</v>
      </c>
      <c r="D8" s="31">
        <v>1310</v>
      </c>
      <c r="I8" s="26">
        <f t="shared" si="2"/>
        <v>218.33333333333334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7402</v>
      </c>
      <c r="D10" s="19">
        <f>SUM(D3:D9)</f>
        <v>7402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246.73333333333335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1375</v>
      </c>
      <c r="Q12" s="35">
        <v>1092</v>
      </c>
      <c r="R12" s="35">
        <v>1101</v>
      </c>
      <c r="S12" s="35">
        <v>1178</v>
      </c>
      <c r="T12" s="35">
        <v>1346</v>
      </c>
      <c r="U12" s="35">
        <v>1310</v>
      </c>
      <c r="V12" s="35">
        <v>7402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1375</v>
      </c>
      <c r="Q17" s="35">
        <v>1092</v>
      </c>
      <c r="R17" s="35">
        <v>1101</v>
      </c>
      <c r="S17" s="35">
        <v>1178</v>
      </c>
      <c r="T17" s="35">
        <v>1346</v>
      </c>
      <c r="U17" s="35">
        <v>1310</v>
      </c>
      <c r="V17" s="35">
        <v>7402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46147.854166666664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1CB9C6E1-9ED5-4F9E-A921-9601F6BFCC2B}"/>
</file>

<file path=customXml/itemProps3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2026-05-06T09:52:02Z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