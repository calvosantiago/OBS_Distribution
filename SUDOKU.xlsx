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82" documentId="13_ncr:1_{0AD06FF4-A909-423F-B378-69C0033412ED}" xr6:coauthVersionLast="47" xr6:coauthVersionMax="47" xr10:uidLastSave="{D37F5BCD-5942-498E-BE59-0F1DF6A5CC1F}"/>
  <bookViews>
    <workbookView xWindow="28680" yWindow="-45" windowWidth="29040" windowHeight="15720" xr2:uid="{EF95C2B5-218E-4516-887F-CDE11964293A}"/>
  </bookViews>
  <sheets>
    <sheet name="Estatus diario" sheetId="1" r:id="rId1"/>
  </sheets>
  <calcPr calcId="191029"/>
  <pivotCaches>
    <pivotCache cacheId="79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<sst xmlns="http://schemas.openxmlformats.org/spreadsheetml/2006/main" count="116" uniqueCount="23">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</sst>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3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48.707666087961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67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230"/>
  </r>
  <r>
    <x v="0"/>
    <x v="1"/>
    <n v="1042"/>
  </r>
  <r>
    <x v="0"/>
    <x v="2"/>
    <n v="1191"/>
  </r>
  <r>
    <x v="0"/>
    <x v="3"/>
    <n v="1191"/>
  </r>
  <r>
    <x v="0"/>
    <x v="4"/>
    <n v="1200"/>
  </r>
  <r>
    <x v="0"/>
    <x v="5"/>
    <n v="944"/>
  </r>
  <r>
    <x v="0"/>
    <x v="6"/>
    <m/>
  </r>
  <r>
    <x v="0"/>
    <x v="7"/>
    <n v="6798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7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10" sqref="O10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0" width="5.140625" bestFit="1" customWidth="1"/>
    <col min="21" max="21" width="4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1230</v>
      </c>
      <c r="D3" s="34">
        <v>1230</v>
      </c>
      <c r="I3" s="26">
        <f>IFERROR(C3/6/COUNT(D3:H3),0)</f>
        <v>205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1042</v>
      </c>
      <c r="D4" s="34">
        <v>1042</v>
      </c>
      <c r="I4" s="26">
        <f t="shared" ref="I4:I10" si="2">IFERROR(C4/6/COUNT(D4:H4),0)</f>
        <v>173.66666666666666</v>
      </c>
      <c r="J4" s="3"/>
      <c r="O4" s="31" t="s">
        <v>21</v>
      </c>
      <c r="P4" s="31"/>
    </row>
    <row r="5" spans="1:22">
      <c r="A5" s="13" t="s">
        <v>1</v>
      </c>
      <c r="B5" s="10" t="s">
        <v>6</v>
      </c>
      <c r="C5" s="11">
        <f t="shared" si="1"/>
        <v>1191</v>
      </c>
      <c r="D5" s="34">
        <v>1191</v>
      </c>
      <c r="I5" s="26">
        <f t="shared" si="2"/>
        <v>198.5</v>
      </c>
      <c r="J5" s="3"/>
    </row>
    <row r="6" spans="1:22">
      <c r="A6" s="13" t="s">
        <v>1</v>
      </c>
      <c r="B6" s="14" t="s">
        <v>7</v>
      </c>
      <c r="C6" s="11">
        <f t="shared" si="1"/>
        <v>1191</v>
      </c>
      <c r="D6" s="34">
        <v>1191</v>
      </c>
      <c r="I6" s="26">
        <f t="shared" si="2"/>
        <v>198.5</v>
      </c>
      <c r="J6" s="3"/>
    </row>
    <row r="7" spans="1:22">
      <c r="A7" s="13" t="s">
        <v>1</v>
      </c>
      <c r="B7" s="10" t="s">
        <v>8</v>
      </c>
      <c r="C7" s="11">
        <f t="shared" si="1"/>
        <v>1200</v>
      </c>
      <c r="D7" s="34">
        <v>1200</v>
      </c>
      <c r="I7" s="26">
        <f t="shared" si="2"/>
        <v>200</v>
      </c>
      <c r="J7" s="3"/>
    </row>
    <row r="8" spans="1:22">
      <c r="A8" s="13" t="s">
        <v>1</v>
      </c>
      <c r="B8" s="10" t="s">
        <v>9</v>
      </c>
      <c r="C8" s="11">
        <f t="shared" si="1"/>
        <v>944</v>
      </c>
      <c r="D8" s="34">
        <v>944</v>
      </c>
      <c r="I8" s="26">
        <f t="shared" si="2"/>
        <v>157.33333333333334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6798</v>
      </c>
      <c r="D10" s="19">
        <f>SUM(D3:D9)</f>
        <v>6798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226.6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1230</v>
      </c>
      <c r="Q12" s="35">
        <v>1042</v>
      </c>
      <c r="R12" s="35">
        <v>1191</v>
      </c>
      <c r="S12" s="35">
        <v>1191</v>
      </c>
      <c r="T12" s="35">
        <v>1200</v>
      </c>
      <c r="U12" s="35">
        <v>944</v>
      </c>
      <c r="V12" s="35">
        <v>6798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1230</v>
      </c>
      <c r="Q17" s="35">
        <v>1042</v>
      </c>
      <c r="R17" s="35">
        <v>1191</v>
      </c>
      <c r="S17" s="35">
        <v>1191</v>
      </c>
      <c r="T17" s="35">
        <v>1200</v>
      </c>
      <c r="U17" s="35">
        <v>944</v>
      </c>
      <c r="V17" s="35">
        <v>6798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2"/>
      <c r="B21" s="32"/>
      <c r="C21" s="2"/>
      <c r="D21" s="21"/>
      <c r="E21" s="21"/>
      <c r="F21" s="21"/>
      <c r="G21" s="21"/>
      <c r="H21" s="21"/>
      <c r="I21" s="3"/>
      <c r="J21" s="3"/>
      <c r="O21" s="31" t="s">
        <v>22</v>
      </c>
      <c r="P21" s="31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46146.854166666664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3"/>
      <c r="B31" s="33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3"/>
      <c r="B41" s="33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2"/>
      <c r="B51" s="32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2"/>
      <c r="B52" s="32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2"/>
      <c r="B53" s="32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1CB9C6E1-9ED5-4F9E-A921-9601F6BF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2026-05-06T14:59:04Z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