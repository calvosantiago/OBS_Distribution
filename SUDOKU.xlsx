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gplaneta.sharepoint.com/sites/BIPOWER/Shared Documents/General/Distribución Atenea/Codigos/Distribución OBS/"/>
    </mc:Choice>
  </mc:AlternateContent>
  <xr:revisionPtr revIDLastSave="366" documentId="13_ncr:1_{0AD06FF4-A909-423F-B378-69C0033412ED}" xr6:coauthVersionLast="47" xr6:coauthVersionMax="47" xr10:uidLastSave="{012DE619-6E75-4B10-A7D4-424A6ADB7323}"/>
  <bookViews>
    <workbookView xWindow="-120" yWindow="-120" windowWidth="29040" windowHeight="15720" xr2:uid="{EF95C2B5-218E-4516-887F-CDE11964293A}"/>
  </bookViews>
  <sheets>
    <sheet name="Estatus diario" sheetId="1" r:id="rId1"/>
  </sheets>
  <calcPr calcId="191029"/>
  <pivotCaches>
    <pivotCache cacheId="99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F2" i="1" s="1"/>
  <c r="G2" i="1" s="1"/>
  <c r="H2" i="1" s="1"/>
  <c r="D12" i="1" s="1"/>
  <c r="E12" i="1" s="1"/>
  <c r="F12" i="1" s="1"/>
  <c r="G12" i="1" s="1"/>
  <c r="H12" i="1" s="1"/>
  <c r="D22" i="1" s="1"/>
  <c r="E22" i="1" s="1"/>
  <c r="F22" i="1" s="1"/>
  <c r="G22" i="1" s="1"/>
  <c r="H22" i="1" s="1"/>
  <c r="D32" i="1" s="1"/>
  <c r="E32" i="1" s="1"/>
  <c r="F32" i="1" s="1"/>
  <c r="G32" i="1" s="1"/>
  <c r="H32" i="1" s="1"/>
  <c r="D42" i="1" s="1"/>
  <c r="E42" i="1" s="1"/>
  <c r="F42" i="1" s="1"/>
  <c r="G42" i="1" s="1"/>
  <c r="H42" i="1" s="1"/>
  <c r="E50" i="1"/>
  <c r="F50" i="1"/>
  <c r="G50" i="1"/>
  <c r="H50" i="1"/>
  <c r="D50" i="1"/>
  <c r="E40" i="1"/>
  <c r="F40" i="1"/>
  <c r="G40" i="1"/>
  <c r="H40" i="1"/>
  <c r="D40" i="1"/>
  <c r="E30" i="1"/>
  <c r="F30" i="1"/>
  <c r="G30" i="1"/>
  <c r="H30" i="1"/>
  <c r="D30" i="1"/>
  <c r="C44" i="1"/>
  <c r="I44" i="1" s="1"/>
  <c r="C45" i="1"/>
  <c r="I45" i="1" s="1"/>
  <c r="C46" i="1"/>
  <c r="I46" i="1" s="1"/>
  <c r="C47" i="1"/>
  <c r="I47" i="1" s="1"/>
  <c r="C48" i="1"/>
  <c r="I48" i="1" s="1"/>
  <c r="C43" i="1"/>
  <c r="C34" i="1"/>
  <c r="I34" i="1" s="1"/>
  <c r="C35" i="1"/>
  <c r="I35" i="1" s="1"/>
  <c r="C36" i="1"/>
  <c r="I36" i="1" s="1"/>
  <c r="C37" i="1"/>
  <c r="I37" i="1" s="1"/>
  <c r="C38" i="1"/>
  <c r="I38" i="1" s="1"/>
  <c r="C33" i="1"/>
  <c r="C24" i="1"/>
  <c r="I24" i="1" s="1"/>
  <c r="C25" i="1"/>
  <c r="I25" i="1" s="1"/>
  <c r="C26" i="1"/>
  <c r="I26" i="1" s="1"/>
  <c r="C27" i="1"/>
  <c r="I27" i="1" s="1"/>
  <c r="C28" i="1"/>
  <c r="I28" i="1" s="1"/>
  <c r="C23" i="1"/>
  <c r="I23" i="1" s="1"/>
  <c r="F10" i="1" l="1"/>
  <c r="C8" i="1"/>
  <c r="I8" i="1" s="1"/>
  <c r="C16" i="1"/>
  <c r="I16" i="1" s="1"/>
  <c r="G20" i="1"/>
  <c r="C15" i="1"/>
  <c r="I15" i="1" s="1"/>
  <c r="G10" i="1"/>
  <c r="H10" i="1"/>
  <c r="C4" i="1"/>
  <c r="I4" i="1" s="1"/>
  <c r="C5" i="1"/>
  <c r="I5" i="1" s="1"/>
  <c r="C7" i="1"/>
  <c r="I7" i="1" s="1"/>
  <c r="C6" i="1"/>
  <c r="I6" i="1" s="1"/>
  <c r="E10" i="1"/>
  <c r="C3" i="1"/>
  <c r="I3" i="1" s="1"/>
  <c r="D10" i="1"/>
  <c r="H20" i="1"/>
  <c r="C14" i="1"/>
  <c r="I14" i="1" s="1"/>
  <c r="C17" i="1"/>
  <c r="I17" i="1" s="1"/>
  <c r="E20" i="1"/>
  <c r="F20" i="1"/>
  <c r="C18" i="1"/>
  <c r="I18" i="1" s="1"/>
  <c r="C13" i="1"/>
  <c r="I13" i="1" s="1"/>
  <c r="D20" i="1"/>
  <c r="C40" i="1"/>
  <c r="I40" i="1" s="1"/>
  <c r="I33" i="1"/>
  <c r="C50" i="1"/>
  <c r="I50" i="1" s="1"/>
  <c r="I43" i="1"/>
  <c r="C30" i="1"/>
  <c r="I30" i="1" s="1"/>
  <c r="C10" i="1" l="1"/>
  <c r="I10" i="1" s="1"/>
  <c r="C20" i="1"/>
  <c r="I20" i="1" s="1"/>
</calcChain>
</file>

<file path=xl/sharedStrings.xml><?xml version="1.0" encoding="utf-8"?>
<sst xmlns="http://schemas.openxmlformats.org/spreadsheetml/2006/main" count="116" uniqueCount="23">
  <si>
    <t>SEM</t>
  </si>
  <si>
    <t>S1</t>
  </si>
  <si>
    <t>HS</t>
  </si>
  <si>
    <t># AC</t>
  </si>
  <si>
    <t>A1</t>
  </si>
  <si>
    <t>A2</t>
  </si>
  <si>
    <t>B1</t>
  </si>
  <si>
    <t>B2</t>
  </si>
  <si>
    <t>C1</t>
  </si>
  <si>
    <t>C2</t>
  </si>
  <si>
    <t>TL</t>
  </si>
  <si>
    <t>S2</t>
  </si>
  <si>
    <t>S3</t>
  </si>
  <si>
    <t>S4</t>
  </si>
  <si>
    <t>S5</t>
  </si>
  <si>
    <t>Etiquetas de fila</t>
  </si>
  <si>
    <t>Total general</t>
  </si>
  <si>
    <t>Etiquetas de columna</t>
  </si>
  <si>
    <t>Suma de HS</t>
  </si>
  <si>
    <t>Semanas</t>
  </si>
  <si>
    <t>Equipos</t>
  </si>
  <si>
    <t>** RECUERDA ACTUALIZAR LA TABLA DINÁMICA**</t>
  </si>
  <si>
    <t>Hora de corte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</si>
</sst>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"/>
  </numFmts>
  <fonts count="34">
    <font>
      <sz val="11"/>
      <color theme="1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80808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"/>
      <family val="2"/>
    </font>
    <font>
      <i/>
      <sz val="11"/>
      <color rgb="FF80808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</font>
    <font>
      <u/>
      <sz val="11"/>
      <color theme="10"/>
      <name val="Aptos Narrow"/>
      <family val="2"/>
      <scheme val="minor"/>
    </font>
    <font>
      <sz val="11"/>
      <name val="Aptos Narrow"/>
      <family val="2"/>
    </font>
    <font>
      <sz val="10"/>
      <name val="Times New Roman"/>
      <family val="1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</font>
    <font>
      <sz val="11"/>
      <color rgb="FF000000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255">
    <xf numFmtId="0" fontId="0" fillId="0" borderId="0"/>
    <xf numFmtId="0" fontId="12" fillId="0" borderId="0"/>
    <xf numFmtId="0" fontId="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5" fillId="0" borderId="0"/>
    <xf numFmtId="9" fontId="15" fillId="0" borderId="0" applyFont="0" applyFill="0" applyBorder="0" applyAlignment="0" applyProtection="0"/>
    <xf numFmtId="0" fontId="13" fillId="0" borderId="0" applyNumberForma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18" fillId="0" borderId="9" applyNumberFormat="0" applyFill="0" applyAlignment="0" applyProtection="0"/>
    <xf numFmtId="0" fontId="19" fillId="0" borderId="10" applyNumberFormat="0" applyFill="0" applyAlignment="0" applyProtection="0"/>
    <xf numFmtId="0" fontId="19" fillId="0" borderId="0" applyNumberFormat="0" applyFill="0" applyBorder="0" applyAlignment="0" applyProtection="0"/>
    <xf numFmtId="0" fontId="20" fillId="8" borderId="0" applyNumberFormat="0" applyBorder="0" applyAlignment="0" applyProtection="0"/>
    <xf numFmtId="0" fontId="21" fillId="9" borderId="0" applyNumberFormat="0" applyBorder="0" applyAlignment="0" applyProtection="0"/>
    <xf numFmtId="0" fontId="22" fillId="10" borderId="0" applyNumberFormat="0" applyBorder="0" applyAlignment="0" applyProtection="0"/>
    <xf numFmtId="0" fontId="23" fillId="11" borderId="11" applyNumberFormat="0" applyAlignment="0" applyProtection="0"/>
    <xf numFmtId="0" fontId="24" fillId="12" borderId="12" applyNumberFormat="0" applyAlignment="0" applyProtection="0"/>
    <xf numFmtId="0" fontId="25" fillId="12" borderId="11" applyNumberFormat="0" applyAlignment="0" applyProtection="0"/>
    <xf numFmtId="0" fontId="26" fillId="0" borderId="13" applyNumberFormat="0" applyFill="0" applyAlignment="0" applyProtection="0"/>
    <xf numFmtId="0" fontId="27" fillId="13" borderId="14" applyNumberFormat="0" applyAlignment="0" applyProtection="0"/>
    <xf numFmtId="0" fontId="28" fillId="0" borderId="0" applyNumberFormat="0" applyFill="0" applyBorder="0" applyAlignment="0" applyProtection="0"/>
    <xf numFmtId="0" fontId="11" fillId="14" borderId="15" applyNumberFormat="0" applyFont="0" applyAlignment="0" applyProtection="0"/>
    <xf numFmtId="0" fontId="29" fillId="0" borderId="0" applyNumberFormat="0" applyFill="0" applyBorder="0" applyAlignment="0" applyProtection="0"/>
    <xf numFmtId="0" fontId="30" fillId="0" borderId="16" applyNumberFormat="0" applyFill="0" applyAlignment="0" applyProtection="0"/>
    <xf numFmtId="0" fontId="3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11" fillId="18" borderId="0" applyNumberFormat="0" applyBorder="0" applyAlignment="0" applyProtection="0"/>
    <xf numFmtId="0" fontId="3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3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3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3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3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32" fillId="0" borderId="0"/>
  </cellStyleXfs>
  <cellXfs count="3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" fontId="3" fillId="0" borderId="3" xfId="0" applyNumberFormat="1" applyFont="1" applyBorder="1" applyAlignment="1">
      <alignment horizontal="center"/>
    </xf>
    <xf numFmtId="0" fontId="2" fillId="4" borderId="3" xfId="0" applyFont="1" applyFill="1" applyBorder="1"/>
    <xf numFmtId="0" fontId="2" fillId="0" borderId="4" xfId="0" applyFont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0" borderId="3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7" borderId="5" xfId="0" applyFont="1" applyFill="1" applyBorder="1" applyAlignment="1">
      <alignment horizontal="center"/>
    </xf>
    <xf numFmtId="0" fontId="8" fillId="7" borderId="7" xfId="0" applyFont="1" applyFill="1" applyBorder="1" applyAlignment="1">
      <alignment horizontal="center"/>
    </xf>
    <xf numFmtId="0" fontId="9" fillId="6" borderId="0" xfId="0" applyFont="1" applyFill="1" applyAlignment="1">
      <alignment horizontal="center"/>
    </xf>
    <xf numFmtId="0" fontId="1" fillId="0" borderId="0" xfId="0" applyFont="1"/>
    <xf numFmtId="164" fontId="3" fillId="4" borderId="0" xfId="0" applyNumberFormat="1" applyFont="1" applyFill="1"/>
    <xf numFmtId="14" fontId="0" fillId="0" borderId="0" xfId="0" applyNumberFormat="1"/>
    <xf numFmtId="22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pivotButton="1"/>
    <xf numFmtId="0" fontId="33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" fillId="0" borderId="0" xfId="0" applyFont="1"/>
    <xf numFmtId="0" fontId="3" fillId="0" borderId="0" xfId="0" applyFont="1"/>
    <xf numFmtId="0" fontId="0" fillId="0" borderId="0" xfId="0" applyNumberFormat="1"/>
  </cellXfs>
  <cellStyles count="255">
    <cellStyle name="20% - Énfasis1" xfId="184" builtinId="30" customBuiltin="1"/>
    <cellStyle name="20% - Énfasis2" xfId="188" builtinId="34" customBuiltin="1"/>
    <cellStyle name="20% - Énfasis3" xfId="192" builtinId="38" customBuiltin="1"/>
    <cellStyle name="20% - Énfasis4" xfId="196" builtinId="42" customBuiltin="1"/>
    <cellStyle name="20% - Énfasis5" xfId="200" builtinId="46" customBuiltin="1"/>
    <cellStyle name="20% - Énfasis6" xfId="204" builtinId="50" customBuiltin="1"/>
    <cellStyle name="40% - Énfasis1" xfId="185" builtinId="31" customBuiltin="1"/>
    <cellStyle name="40% - Énfasis2" xfId="189" builtinId="35" customBuiltin="1"/>
    <cellStyle name="40% - Énfasis3" xfId="193" builtinId="39" customBuiltin="1"/>
    <cellStyle name="40% - Énfasis4" xfId="197" builtinId="43" customBuiltin="1"/>
    <cellStyle name="40% - Énfasis5" xfId="201" builtinId="47" customBuiltin="1"/>
    <cellStyle name="40% - Énfasis6" xfId="205" builtinId="51" customBuiltin="1"/>
    <cellStyle name="60% - Énfasis1" xfId="186" builtinId="32" customBuiltin="1"/>
    <cellStyle name="60% - Énfasis2" xfId="190" builtinId="36" customBuiltin="1"/>
    <cellStyle name="60% - Énfasis3" xfId="194" builtinId="40" customBuiltin="1"/>
    <cellStyle name="60% - Énfasis4" xfId="198" builtinId="44" customBuiltin="1"/>
    <cellStyle name="60% - Énfasis5" xfId="202" builtinId="48" customBuiltin="1"/>
    <cellStyle name="60% - Énfasis6" xfId="206" builtinId="52" customBuiltin="1"/>
    <cellStyle name="Bueno" xfId="171" builtinId="26" customBuiltin="1"/>
    <cellStyle name="Cálculo" xfId="176" builtinId="22" customBuiltin="1"/>
    <cellStyle name="Celda de comprobación" xfId="178" builtinId="23" customBuiltin="1"/>
    <cellStyle name="Celda vinculada" xfId="177" builtinId="24" customBuiltin="1"/>
    <cellStyle name="Encabezado 1" xfId="167" builtinId="16" customBuiltin="1"/>
    <cellStyle name="Encabezado 4" xfId="170" builtinId="19" customBuiltin="1"/>
    <cellStyle name="Énfasis1" xfId="183" builtinId="29" customBuiltin="1"/>
    <cellStyle name="Énfasis2" xfId="187" builtinId="33" customBuiltin="1"/>
    <cellStyle name="Énfasis3" xfId="191" builtinId="37" customBuiltin="1"/>
    <cellStyle name="Énfasis4" xfId="195" builtinId="41" customBuiltin="1"/>
    <cellStyle name="Énfasis5" xfId="199" builtinId="45" customBuiltin="1"/>
    <cellStyle name="Énfasis6" xfId="203" builtinId="49" customBuiltin="1"/>
    <cellStyle name="Entrada" xfId="174" builtinId="20" customBuiltin="1"/>
    <cellStyle name="Hyperlink" xfId="18" xr:uid="{B2018405-1245-4847-A253-ACF8F5BE6E28}"/>
    <cellStyle name="Incorrecto" xfId="172" builtinId="27" customBuiltin="1"/>
    <cellStyle name="Moneda 2" xfId="19" xr:uid="{CEBF53AA-8B6B-4E2D-9FCD-940A0C0397D1}"/>
    <cellStyle name="Moneda 2 10" xfId="59" xr:uid="{FDF75B95-A597-4585-8A7D-1645B69538BC}"/>
    <cellStyle name="Moneda 2 10 2" xfId="105" xr:uid="{EC109079-E88F-4EBC-BA51-0F55F0012AAA}"/>
    <cellStyle name="Moneda 2 10 3" xfId="151" xr:uid="{CC924310-31DA-4300-90F2-D39F2C529DF4}"/>
    <cellStyle name="Moneda 2 10 4" xfId="238" xr:uid="{830C5F1F-837E-476B-AC4B-2430F822591A}"/>
    <cellStyle name="Moneda 2 11" xfId="64" xr:uid="{733FA569-27EB-4B97-8F71-9F2702548B08}"/>
    <cellStyle name="Moneda 2 11 2" xfId="110" xr:uid="{25D37EC2-C0F0-439A-84B1-9F07511977A9}"/>
    <cellStyle name="Moneda 2 11 3" xfId="156" xr:uid="{85446705-B7C3-4FC5-AC58-950A1162D64D}"/>
    <cellStyle name="Moneda 2 11 4" xfId="243" xr:uid="{1DF776D6-58E9-4FD7-B167-54CF363D54C0}"/>
    <cellStyle name="Moneda 2 12" xfId="69" xr:uid="{033D24C2-CEBB-4FC5-A4C0-7404A5F207C3}"/>
    <cellStyle name="Moneda 2 12 2" xfId="115" xr:uid="{B70301D3-5E35-4972-AF54-A43466A75284}"/>
    <cellStyle name="Moneda 2 12 3" xfId="161" xr:uid="{4F1ACD12-6748-4AEF-905D-79FE42340EB0}"/>
    <cellStyle name="Moneda 2 12 4" xfId="248" xr:uid="{FE725EAA-25C6-4977-AC7D-92B74FFE9366}"/>
    <cellStyle name="Moneda 2 13" xfId="79" xr:uid="{E7B2FE90-A322-4407-AF6E-3C797FE973CA}"/>
    <cellStyle name="Moneda 2 13 2" xfId="125" xr:uid="{B4C13C6D-C18C-482A-BA72-CB6AF979BBC8}"/>
    <cellStyle name="Moneda 2 13 3" xfId="212" xr:uid="{49EEF507-F7FF-4F6A-B172-C1724AB4FC29}"/>
    <cellStyle name="Moneda 2 14" xfId="74" xr:uid="{45BE0D07-B9A8-4064-94DB-D20AF1E0C4D0}"/>
    <cellStyle name="Moneda 2 15" xfId="120" xr:uid="{48B5C7BB-EAA1-4983-80A6-6DB1BDEB2305}"/>
    <cellStyle name="Moneda 2 16" xfId="207" xr:uid="{C7E238F2-6DB0-47E6-9D6A-2FD41B2C8E92}"/>
    <cellStyle name="Moneda 2 2" xfId="21" xr:uid="{EBFDC036-FF0B-49ED-AC3A-709715F7B82A}"/>
    <cellStyle name="Moneda 2 2 10" xfId="71" xr:uid="{5DDC46D0-842C-4A2E-92E8-ABD6AD2AAA1B}"/>
    <cellStyle name="Moneda 2 2 10 2" xfId="117" xr:uid="{960E80FF-4C72-481C-B563-7016118359F3}"/>
    <cellStyle name="Moneda 2 2 10 3" xfId="163" xr:uid="{64FD41C9-235A-40AC-A4D8-171C7342486B}"/>
    <cellStyle name="Moneda 2 2 10 4" xfId="250" xr:uid="{11947B10-CB33-4D7F-A33F-052322AE9486}"/>
    <cellStyle name="Moneda 2 2 11" xfId="80" xr:uid="{1AFA96EE-ADFB-46F6-AFF7-84204B421FA8}"/>
    <cellStyle name="Moneda 2 2 11 2" xfId="126" xr:uid="{02884BCA-0787-40C1-ABD4-B7905AA874CC}"/>
    <cellStyle name="Moneda 2 2 11 3" xfId="213" xr:uid="{86C7BD59-388B-482F-B3C1-9811B734512C}"/>
    <cellStyle name="Moneda 2 2 12" xfId="76" xr:uid="{E3478D81-419E-4796-9D51-DA114F8D2C71}"/>
    <cellStyle name="Moneda 2 2 13" xfId="122" xr:uid="{731D2916-217E-4669-AFED-472E473A1648}"/>
    <cellStyle name="Moneda 2 2 14" xfId="209" xr:uid="{3A471E74-A74D-4314-A42E-9CD3371195ED}"/>
    <cellStyle name="Moneda 2 2 2" xfId="37" xr:uid="{CC7FC404-D3BE-4275-A513-2A476E6F003A}"/>
    <cellStyle name="Moneda 2 2 2 2" xfId="83" xr:uid="{2B5DCB4A-E3BC-4992-B73E-D561B5F63554}"/>
    <cellStyle name="Moneda 2 2 2 3" xfId="129" xr:uid="{9450676A-C05C-4D12-BED3-C60386F06150}"/>
    <cellStyle name="Moneda 2 2 2 4" xfId="216" xr:uid="{9C268655-4231-4B29-9ED4-6A0B600F606C}"/>
    <cellStyle name="Moneda 2 2 3" xfId="40" xr:uid="{F05178DD-0970-4BBD-B557-6633C9B3DA72}"/>
    <cellStyle name="Moneda 2 2 3 2" xfId="86" xr:uid="{C9137B14-5840-498A-AE7C-D82E04F564B4}"/>
    <cellStyle name="Moneda 2 2 3 3" xfId="132" xr:uid="{9F23760D-D4E5-4CA6-8A1D-5E62D0E84756}"/>
    <cellStyle name="Moneda 2 2 3 4" xfId="219" xr:uid="{96B37EBD-0D01-4617-9047-A58FD45F8724}"/>
    <cellStyle name="Moneda 2 2 4" xfId="43" xr:uid="{B1D1D8B7-FFC4-44C3-A297-D56D6135BA6B}"/>
    <cellStyle name="Moneda 2 2 4 2" xfId="89" xr:uid="{87C20372-0BCB-4D10-BF74-8578B62A332F}"/>
    <cellStyle name="Moneda 2 2 4 3" xfId="135" xr:uid="{1C58CE7E-BB98-4DE5-B62D-5AFFAD89DEDF}"/>
    <cellStyle name="Moneda 2 2 4 4" xfId="222" xr:uid="{0B684038-DB80-4159-BB65-A9C33CB85C6D}"/>
    <cellStyle name="Moneda 2 2 5" xfId="46" xr:uid="{E0C5F919-636E-4F9D-8793-F35F305CE8A8}"/>
    <cellStyle name="Moneda 2 2 5 2" xfId="92" xr:uid="{2295E829-7422-40C0-936A-2498C625B8CA}"/>
    <cellStyle name="Moneda 2 2 5 3" xfId="138" xr:uid="{00DE2E34-0A4F-4477-8712-2AA8148E7B07}"/>
    <cellStyle name="Moneda 2 2 5 4" xfId="225" xr:uid="{020629BF-CD7E-4F39-9DDB-FA6B6597B973}"/>
    <cellStyle name="Moneda 2 2 6" xfId="50" xr:uid="{060513CE-1E51-4AF2-BED2-3308E7A5528F}"/>
    <cellStyle name="Moneda 2 2 6 2" xfId="96" xr:uid="{8980EDDE-FAB1-4D17-A547-1E4AC662111E}"/>
    <cellStyle name="Moneda 2 2 6 3" xfId="142" xr:uid="{B10B84A8-1070-4A7A-888C-663EE2298782}"/>
    <cellStyle name="Moneda 2 2 6 4" xfId="229" xr:uid="{5D7B8547-C1F5-467D-B96A-6CC67AB320F6}"/>
    <cellStyle name="Moneda 2 2 7" xfId="55" xr:uid="{94A23887-FE88-4793-9FDA-92C9211068DD}"/>
    <cellStyle name="Moneda 2 2 7 2" xfId="101" xr:uid="{2171A9C0-9E4E-4E9D-BEFF-4EDAF9750199}"/>
    <cellStyle name="Moneda 2 2 7 3" xfId="147" xr:uid="{0AE522F1-FB55-43FD-A794-C5E3F3059E69}"/>
    <cellStyle name="Moneda 2 2 7 4" xfId="234" xr:uid="{15F7D30F-479D-46A3-A95C-E57FC7127380}"/>
    <cellStyle name="Moneda 2 2 8" xfId="61" xr:uid="{49063416-6398-4A1E-BD9F-012E3656CEF7}"/>
    <cellStyle name="Moneda 2 2 8 2" xfId="107" xr:uid="{8F3774A5-B9F6-4398-94C1-5484F962B184}"/>
    <cellStyle name="Moneda 2 2 8 3" xfId="153" xr:uid="{D5E74BFB-237B-4194-9841-8A55B2E00591}"/>
    <cellStyle name="Moneda 2 2 8 4" xfId="240" xr:uid="{464980FD-9027-4E44-9377-F10F03930B67}"/>
    <cellStyle name="Moneda 2 2 9" xfId="66" xr:uid="{A08EDAF3-8B31-4980-9755-F9731E0076E3}"/>
    <cellStyle name="Moneda 2 2 9 2" xfId="112" xr:uid="{CC9101B4-3453-4D5F-B5BA-41D03BF78857}"/>
    <cellStyle name="Moneda 2 2 9 3" xfId="158" xr:uid="{781489DB-F7B2-4A1B-AC30-394C49DEE35D}"/>
    <cellStyle name="Moneda 2 2 9 4" xfId="245" xr:uid="{010D2155-13CE-4575-9531-9B68CBFE68CD}"/>
    <cellStyle name="Moneda 2 3" xfId="36" xr:uid="{1215ABD4-5220-487B-89B5-AA885EAB04A5}"/>
    <cellStyle name="Moneda 2 3 10" xfId="82" xr:uid="{B5049156-F7B5-4D82-A28C-72F77FAC3FDE}"/>
    <cellStyle name="Moneda 2 3 10 2" xfId="128" xr:uid="{E577115C-2C28-4FD5-BD08-F2EC8B795D84}"/>
    <cellStyle name="Moneda 2 3 10 3" xfId="215" xr:uid="{635DFC0C-397D-4DE7-855D-BD5CAB2D8395}"/>
    <cellStyle name="Moneda 2 3 11" xfId="75" xr:uid="{AFAAB54B-D457-4581-9388-C2AF44BDBE66}"/>
    <cellStyle name="Moneda 2 3 12" xfId="121" xr:uid="{A21B8778-7457-4CB2-9FF8-B162FF534DB8}"/>
    <cellStyle name="Moneda 2 3 13" xfId="208" xr:uid="{5E956D6D-9857-4FCA-894B-DB3819E49033}"/>
    <cellStyle name="Moneda 2 3 2" xfId="39" xr:uid="{3420C6FC-40C3-4347-8915-5E37D4F27C66}"/>
    <cellStyle name="Moneda 2 3 2 2" xfId="85" xr:uid="{8DB36012-E571-4B42-A3E0-8B4BD7C0751C}"/>
    <cellStyle name="Moneda 2 3 2 3" xfId="131" xr:uid="{586EC2D4-BA22-4AEA-B984-BEA6F26151B3}"/>
    <cellStyle name="Moneda 2 3 2 4" xfId="218" xr:uid="{7544BB2C-5BD6-4D28-B4E0-954BC9201C88}"/>
    <cellStyle name="Moneda 2 3 3" xfId="42" xr:uid="{7BE246B1-3564-4109-A03A-9C159034B353}"/>
    <cellStyle name="Moneda 2 3 3 2" xfId="88" xr:uid="{F87279E2-F415-4C64-9C05-C74C17FFB004}"/>
    <cellStyle name="Moneda 2 3 3 3" xfId="134" xr:uid="{0DD1AEAC-9B83-4DB8-9D36-0748DFCD1D1C}"/>
    <cellStyle name="Moneda 2 3 3 4" xfId="221" xr:uid="{5F0DEDC8-9C07-4D61-BE51-BE12390B8597}"/>
    <cellStyle name="Moneda 2 3 4" xfId="45" xr:uid="{C537BDE2-9AB6-4E9B-9408-C3A95636E5DD}"/>
    <cellStyle name="Moneda 2 3 4 2" xfId="91" xr:uid="{B8A9AD54-5724-4B5F-98E9-362585CA22A8}"/>
    <cellStyle name="Moneda 2 3 4 3" xfId="137" xr:uid="{C3075DD4-4BBF-4B1F-AB23-8AA30141E209}"/>
    <cellStyle name="Moneda 2 3 4 4" xfId="224" xr:uid="{378D5109-26D3-41DC-A183-5470D924BD48}"/>
    <cellStyle name="Moneda 2 3 5" xfId="49" xr:uid="{A5551541-CFD7-4A26-9869-71C8BCD7753D}"/>
    <cellStyle name="Moneda 2 3 5 2" xfId="95" xr:uid="{0E94BD71-E69C-4C3C-9356-0D9A2AF72228}"/>
    <cellStyle name="Moneda 2 3 5 3" xfId="141" xr:uid="{E77E3A4A-58E9-4EBC-9E89-0C55C7B37DCE}"/>
    <cellStyle name="Moneda 2 3 5 4" xfId="228" xr:uid="{8E37ACAA-DF68-4FEB-9BC8-90E08DD53A34}"/>
    <cellStyle name="Moneda 2 3 6" xfId="54" xr:uid="{D8E5DCCD-1ADF-400D-B378-83D66EE3168E}"/>
    <cellStyle name="Moneda 2 3 6 2" xfId="100" xr:uid="{6B4B5ACC-3EC5-4FF5-ACF9-93C7E1B75047}"/>
    <cellStyle name="Moneda 2 3 6 3" xfId="146" xr:uid="{EA4637C3-3F4A-44E1-A2FF-1CEACC6462EE}"/>
    <cellStyle name="Moneda 2 3 6 4" xfId="233" xr:uid="{E41B9DD5-347A-4B9B-BCE8-2D15516F8747}"/>
    <cellStyle name="Moneda 2 3 7" xfId="60" xr:uid="{F5F4C5BE-7CED-4B09-A44C-DC609CCE0C51}"/>
    <cellStyle name="Moneda 2 3 7 2" xfId="106" xr:uid="{F42142CF-8DA9-4703-8B04-7BEA3108A6BA}"/>
    <cellStyle name="Moneda 2 3 7 3" xfId="152" xr:uid="{8E124B33-8F74-4780-A4B4-5A74BC351914}"/>
    <cellStyle name="Moneda 2 3 7 4" xfId="239" xr:uid="{33686559-6105-430C-A5BE-2181DB44B51E}"/>
    <cellStyle name="Moneda 2 3 8" xfId="65" xr:uid="{29D3C733-4371-485E-8502-AA4779581B3E}"/>
    <cellStyle name="Moneda 2 3 8 2" xfId="111" xr:uid="{4C7F8DB4-C43D-4B0A-AE79-6C154945E15D}"/>
    <cellStyle name="Moneda 2 3 8 3" xfId="157" xr:uid="{DF36EBD3-143A-47F4-AF6A-1A495DF8EA4F}"/>
    <cellStyle name="Moneda 2 3 8 4" xfId="244" xr:uid="{47C80C7F-8816-4600-84C8-B83AAFEDD791}"/>
    <cellStyle name="Moneda 2 3 9" xfId="70" xr:uid="{5FC70BAA-7994-49FF-B8A1-13765913B757}"/>
    <cellStyle name="Moneda 2 3 9 2" xfId="116" xr:uid="{74FD84EE-B106-4AC4-BEC4-2E83620C2F8A}"/>
    <cellStyle name="Moneda 2 3 9 3" xfId="162" xr:uid="{B56FB880-E67F-4704-860D-5D040EA47BD3}"/>
    <cellStyle name="Moneda 2 3 9 4" xfId="249" xr:uid="{18456A30-E58F-4715-97B7-C049517476AD}"/>
    <cellStyle name="Moneda 2 4" xfId="22" xr:uid="{C856720B-E8A6-4AC5-AB83-CF98E3EF83EE}"/>
    <cellStyle name="Moneda 2 4 2" xfId="81" xr:uid="{B905E27A-E356-4F29-AEE3-13771753F9DA}"/>
    <cellStyle name="Moneda 2 4 3" xfId="127" xr:uid="{DACFF950-40D1-41D6-8EB6-B447D99CED5A}"/>
    <cellStyle name="Moneda 2 4 4" xfId="214" xr:uid="{9E337CD0-9A13-4633-90FE-83FCB36E59E5}"/>
    <cellStyle name="Moneda 2 5" xfId="38" xr:uid="{543CB192-C6A7-4F18-96D2-D078B55A61CB}"/>
    <cellStyle name="Moneda 2 5 2" xfId="84" xr:uid="{486A89DC-ECBC-402C-A58A-FBAC4FFCF01C}"/>
    <cellStyle name="Moneda 2 5 3" xfId="130" xr:uid="{A43C2057-7CF1-475D-A586-BC553198FEBE}"/>
    <cellStyle name="Moneda 2 5 4" xfId="217" xr:uid="{9CCC8394-F96F-47AF-A39A-120DF642B610}"/>
    <cellStyle name="Moneda 2 6" xfId="41" xr:uid="{14D1D7A7-6BF3-4644-A820-240992FDB63E}"/>
    <cellStyle name="Moneda 2 6 2" xfId="87" xr:uid="{93DBA7D8-4A16-4297-AED1-7E763BB07D3B}"/>
    <cellStyle name="Moneda 2 6 3" xfId="133" xr:uid="{AC18E7A7-AD52-4063-9EC4-5B12B12AC1E2}"/>
    <cellStyle name="Moneda 2 6 4" xfId="220" xr:uid="{7BB2960D-19E2-4607-A815-E350CD4D4E2E}"/>
    <cellStyle name="Moneda 2 7" xfId="44" xr:uid="{FFF1D48E-6176-4CF7-81EF-EE5AC9546ED6}"/>
    <cellStyle name="Moneda 2 7 2" xfId="90" xr:uid="{662C375C-70C8-4901-893E-E33A91557316}"/>
    <cellStyle name="Moneda 2 7 3" xfId="136" xr:uid="{03CD9128-CD3A-4ACF-83FD-DD49DD62D230}"/>
    <cellStyle name="Moneda 2 7 4" xfId="223" xr:uid="{0982ADCE-1E5F-44E3-AFFF-9514712C3B4C}"/>
    <cellStyle name="Moneda 2 8" xfId="48" xr:uid="{505EEDDC-CA34-4C8E-894B-E00A33C56132}"/>
    <cellStyle name="Moneda 2 8 2" xfId="94" xr:uid="{0C48F0DF-9A9B-47F2-B5B5-8C5A4F507DB2}"/>
    <cellStyle name="Moneda 2 8 3" xfId="140" xr:uid="{2DDA0C3B-B4D2-4D0E-91AE-8417131A2ED7}"/>
    <cellStyle name="Moneda 2 8 4" xfId="227" xr:uid="{DB10AF3D-5235-4D42-B947-427251072FEA}"/>
    <cellStyle name="Moneda 2 9" xfId="53" xr:uid="{9DEFD098-5F68-4A9D-A770-6123E150DD6E}"/>
    <cellStyle name="Moneda 2 9 2" xfId="99" xr:uid="{4C4F8FDC-C495-441C-A948-3A3941756072}"/>
    <cellStyle name="Moneda 2 9 3" xfId="145" xr:uid="{A15D5E0D-4857-485B-B899-5C79ED2126D5}"/>
    <cellStyle name="Moneda 2 9 4" xfId="232" xr:uid="{2FB3D762-2DBC-41C3-8A4B-F42EAB96A89D}"/>
    <cellStyle name="Moneda 3" xfId="47" xr:uid="{85CAFDD7-BC80-42AB-AB19-AD3F8539702F}"/>
    <cellStyle name="Moneda 3 10" xfId="210" xr:uid="{47A1FA21-1B88-42B7-9293-A37799E2DB5B}"/>
    <cellStyle name="Moneda 3 2" xfId="51" xr:uid="{96C4286F-DBE0-4288-BB74-90F8B138EA6D}"/>
    <cellStyle name="Moneda 3 2 2" xfId="97" xr:uid="{20E23E69-96B9-4897-A347-54D52E8BA6FB}"/>
    <cellStyle name="Moneda 3 2 3" xfId="143" xr:uid="{71BD2A54-4155-4016-BAFD-7CA7F2237F57}"/>
    <cellStyle name="Moneda 3 2 4" xfId="230" xr:uid="{E79D693B-91F0-4C13-87C9-AE6C3239D037}"/>
    <cellStyle name="Moneda 3 3" xfId="56" xr:uid="{34925A72-50E9-4BB6-AB5E-29A42278EC06}"/>
    <cellStyle name="Moneda 3 3 2" xfId="102" xr:uid="{6A49C2AA-C587-4F11-A173-65C84D02B8F7}"/>
    <cellStyle name="Moneda 3 3 3" xfId="148" xr:uid="{302BEA78-715F-4324-ACD0-913C3FAB3E5F}"/>
    <cellStyle name="Moneda 3 3 4" xfId="235" xr:uid="{EA31B6D8-5FA9-41AC-B355-44EEF417FEB9}"/>
    <cellStyle name="Moneda 3 4" xfId="62" xr:uid="{2CBB34AE-A901-454F-8B45-5C34D3D6C141}"/>
    <cellStyle name="Moneda 3 4 2" xfId="108" xr:uid="{B89AE0FB-3978-48B9-BB55-8875ECCD656E}"/>
    <cellStyle name="Moneda 3 4 3" xfId="154" xr:uid="{63E6F307-7839-490B-A5B9-66ED924F46EC}"/>
    <cellStyle name="Moneda 3 4 4" xfId="241" xr:uid="{B185CB40-E726-4791-8F3F-DAC9A0F48648}"/>
    <cellStyle name="Moneda 3 5" xfId="67" xr:uid="{3FFD3DD0-5204-47D9-B534-A50AAA72ACB7}"/>
    <cellStyle name="Moneda 3 5 2" xfId="113" xr:uid="{20EED5AE-EC9D-4E21-859D-241A45CFABB1}"/>
    <cellStyle name="Moneda 3 5 3" xfId="159" xr:uid="{C2B9F339-D756-4C5D-8C08-99A8D24897C3}"/>
    <cellStyle name="Moneda 3 5 4" xfId="246" xr:uid="{6C021489-637C-4A39-99E4-5D3E6B3DD5E7}"/>
    <cellStyle name="Moneda 3 6" xfId="72" xr:uid="{1123ABF6-735C-4B1A-9A9D-13E29730795D}"/>
    <cellStyle name="Moneda 3 6 2" xfId="118" xr:uid="{FC7BC7D2-0411-41D8-AA8D-F1A5D239DB53}"/>
    <cellStyle name="Moneda 3 6 3" xfId="164" xr:uid="{981CB1AA-33DA-4075-8E2C-8C3DF7FB9680}"/>
    <cellStyle name="Moneda 3 6 4" xfId="251" xr:uid="{D054D014-DA1F-4C61-9ADB-EE6129C7176A}"/>
    <cellStyle name="Moneda 3 7" xfId="93" xr:uid="{143FA41C-45A1-4D0D-BCEB-2A6CD584F1A4}"/>
    <cellStyle name="Moneda 3 7 2" xfId="139" xr:uid="{9666F50D-330E-4835-BC7E-5A08B5870F28}"/>
    <cellStyle name="Moneda 3 7 3" xfId="226" xr:uid="{AEE6FEBA-FC88-460F-A1E4-CFC753A2AD21}"/>
    <cellStyle name="Moneda 3 8" xfId="77" xr:uid="{9D38D546-6677-4929-8E55-423271F0B76D}"/>
    <cellStyle name="Moneda 3 9" xfId="123" xr:uid="{71D30BF2-29FB-4DB6-B941-317AF9935F77}"/>
    <cellStyle name="Moneda 4" xfId="52" xr:uid="{37C3E87F-62D1-4247-9FCD-BF46D4177B38}"/>
    <cellStyle name="Moneda 4 2" xfId="57" xr:uid="{0D33716A-1B52-49C5-B03E-298B115A6242}"/>
    <cellStyle name="Moneda 4 2 2" xfId="103" xr:uid="{AACBA8BA-7D9F-4375-8223-C5DC3A39545A}"/>
    <cellStyle name="Moneda 4 2 3" xfId="149" xr:uid="{001258B4-E819-4E14-A4BC-69EC9A476FE6}"/>
    <cellStyle name="Moneda 4 2 4" xfId="236" xr:uid="{D36259C9-FD7D-400D-BCD1-26EC9D76B543}"/>
    <cellStyle name="Moneda 4 3" xfId="63" xr:uid="{ED1C5CE2-B4BC-4A3D-AB59-9C0356444D01}"/>
    <cellStyle name="Moneda 4 3 2" xfId="109" xr:uid="{1CD0CC82-5263-4DEE-B94E-D77A2438921E}"/>
    <cellStyle name="Moneda 4 3 3" xfId="155" xr:uid="{5DD14E02-C160-4EEF-8CB5-E2E7D2B0945B}"/>
    <cellStyle name="Moneda 4 3 4" xfId="242" xr:uid="{D4B83A40-21EC-497B-9D2A-C8198487483A}"/>
    <cellStyle name="Moneda 4 4" xfId="68" xr:uid="{A8A598A9-970D-47DC-B1E1-29E7D47DD090}"/>
    <cellStyle name="Moneda 4 4 2" xfId="114" xr:uid="{59279AA4-CD79-48BE-BA6F-A548E9E73AA7}"/>
    <cellStyle name="Moneda 4 4 3" xfId="160" xr:uid="{809D950E-8DD7-4C72-A60E-6AEC953EFB87}"/>
    <cellStyle name="Moneda 4 4 4" xfId="247" xr:uid="{7E083487-A7F5-4EDF-9737-4F0A76B48A43}"/>
    <cellStyle name="Moneda 4 5" xfId="73" xr:uid="{69AE1A5E-3A9B-4A7C-B962-B3043E993D8D}"/>
    <cellStyle name="Moneda 4 5 2" xfId="119" xr:uid="{41931F4B-6B43-4774-8F41-F8AACDBD14B2}"/>
    <cellStyle name="Moneda 4 5 3" xfId="165" xr:uid="{50D6C0B2-B998-4C77-AEDD-420AE00EDE82}"/>
    <cellStyle name="Moneda 4 5 4" xfId="252" xr:uid="{F2BF692C-6CE4-47D1-847C-7C8D4010FB28}"/>
    <cellStyle name="Moneda 4 6" xfId="98" xr:uid="{4F9D7CCE-4CC0-4C6C-9305-EA75C4F3875B}"/>
    <cellStyle name="Moneda 4 6 2" xfId="144" xr:uid="{39DE7B02-8CEB-402C-9AA1-EABC50DB2540}"/>
    <cellStyle name="Moneda 4 6 3" xfId="231" xr:uid="{AF02880C-F531-4C7D-AD09-5D7917357588}"/>
    <cellStyle name="Moneda 4 7" xfId="78" xr:uid="{35E27D55-94D0-4DEB-AA9D-FDA546D20F9E}"/>
    <cellStyle name="Moneda 4 8" xfId="124" xr:uid="{D4251BD3-7034-44C2-AADD-AB8F76DC2AB0}"/>
    <cellStyle name="Moneda 4 9" xfId="211" xr:uid="{56745075-97AD-4F75-A521-4FC3CA6F3143}"/>
    <cellStyle name="Moneda 5" xfId="58" xr:uid="{3670C6D2-7DDC-4274-A607-0FB14349F8E2}"/>
    <cellStyle name="Moneda 5 2" xfId="104" xr:uid="{AAA1E068-29D5-4C3E-BCED-A365C80CD4D7}"/>
    <cellStyle name="Moneda 5 3" xfId="150" xr:uid="{E7798976-6AE6-4957-B10E-F095B839ADD4}"/>
    <cellStyle name="Moneda 5 4" xfId="237" xr:uid="{BB71DFD8-A349-4772-BDC8-941CB4398B27}"/>
    <cellStyle name="Moneda 6" xfId="253" xr:uid="{A995F97A-4D71-43DC-9949-BFE8D21A8A32}"/>
    <cellStyle name="Neutral" xfId="173" builtinId="28" customBuiltin="1"/>
    <cellStyle name="Normal" xfId="0" builtinId="0"/>
    <cellStyle name="Normal 10" xfId="10" xr:uid="{0B95864E-03D8-4F67-B990-2AF43328EB3C}"/>
    <cellStyle name="Normal 10 2" xfId="30" xr:uid="{7FA630B3-0C0F-4FC1-B9AD-58284DA35EB1}"/>
    <cellStyle name="Normal 11" xfId="11" xr:uid="{5C553AE0-2F04-4876-A976-7AEFF0AA1AD6}"/>
    <cellStyle name="Normal 11 2" xfId="31" xr:uid="{7AD53723-1DB9-43AB-A3D7-A8F616766BF8}"/>
    <cellStyle name="Normal 12" xfId="12" xr:uid="{3BC0023D-D8B2-4314-98BF-FC36C516CB3E}"/>
    <cellStyle name="Normal 12 2" xfId="32" xr:uid="{00BB453F-798A-463E-91CF-C66CE96317AF}"/>
    <cellStyle name="Normal 13" xfId="13" xr:uid="{F01053DF-92A3-4B60-925E-AAEF75C1AEC4}"/>
    <cellStyle name="Normal 13 2" xfId="33" xr:uid="{0F0CD918-8F29-452E-ACBD-477CE2F54F2A}"/>
    <cellStyle name="Normal 14" xfId="14" xr:uid="{E86B8017-7E62-40AB-857C-EC4EFE1E83F8}"/>
    <cellStyle name="Normal 14 2" xfId="34" xr:uid="{3BC66587-D5C3-49AF-8EE6-3E49040356A6}"/>
    <cellStyle name="Normal 15" xfId="15" xr:uid="{DAAA0BE8-7004-4376-A042-6A9A168A9A21}"/>
    <cellStyle name="Normal 15 2" xfId="20" xr:uid="{55332A69-B081-4BAD-8A20-77725DD92B5C}"/>
    <cellStyle name="Normal 15 3" xfId="35" xr:uid="{CCD54986-C90C-4098-A1A6-8D44F35D6691}"/>
    <cellStyle name="Normal 16" xfId="254" xr:uid="{25D55C6B-2597-45A4-85E5-AD68CDB53B3A}"/>
    <cellStyle name="Normal 2" xfId="1" xr:uid="{0C12119C-D43E-49BD-BFF9-9B05911E5BF0}"/>
    <cellStyle name="Normal 2 2" xfId="2" xr:uid="{A7FB9C6F-E634-4B2E-86BE-BBD572D5AFB7}"/>
    <cellStyle name="Normal 2 3" xfId="16" xr:uid="{76702E4E-6488-468F-BE6C-98D1A76F4C63}"/>
    <cellStyle name="Normal 2 4" xfId="23" xr:uid="{10EFA4F0-8BF2-4F14-8AF8-C55FD1613754}"/>
    <cellStyle name="Normal 3" xfId="3" xr:uid="{15A357C1-11B2-4983-A25B-AE2A2DCC98A1}"/>
    <cellStyle name="Normal 3 2" xfId="24" xr:uid="{3D3B6F98-B1D7-4D0E-86C4-68FA147838F5}"/>
    <cellStyle name="Normal 4" xfId="4" xr:uid="{C986379F-2E15-4DCA-A049-C0758CFAE754}"/>
    <cellStyle name="Normal 5" xfId="5" xr:uid="{E886E852-CCBB-42D6-915E-09643F7E8A58}"/>
    <cellStyle name="Normal 5 2" xfId="25" xr:uid="{F01131C8-1AC0-4E8B-A51F-3C1FEEC5A0CC}"/>
    <cellStyle name="Normal 6" xfId="6" xr:uid="{290E68A9-AB31-44C1-B577-14B1FBBCDFC6}"/>
    <cellStyle name="Normal 6 2" xfId="26" xr:uid="{EF657C49-F2B4-4FF5-855D-D1C5C157DDE6}"/>
    <cellStyle name="Normal 7" xfId="7" xr:uid="{8BE4DFD1-7F7F-43D8-8569-810913E36E35}"/>
    <cellStyle name="Normal 7 2" xfId="27" xr:uid="{4107D020-7AF0-4739-AD29-D9BADE0CF308}"/>
    <cellStyle name="Normal 8" xfId="8" xr:uid="{9EE71C69-8378-4D31-B015-09926EA48E66}"/>
    <cellStyle name="Normal 8 2" xfId="28" xr:uid="{E1572630-C991-475A-B9DB-D7C6C95041D9}"/>
    <cellStyle name="Normal 9" xfId="9" xr:uid="{71DD3493-6787-4E9A-9884-29FA502B524E}"/>
    <cellStyle name="Normal 9 2" xfId="29" xr:uid="{C7D337D3-C3B7-4827-905C-EA6DC470000D}"/>
    <cellStyle name="Notas" xfId="180" builtinId="10" customBuiltin="1"/>
    <cellStyle name="Porcentaje 2" xfId="17" xr:uid="{B4DC4AB0-E63A-4080-AE1F-316E36CABFFB}"/>
    <cellStyle name="Salida" xfId="175" builtinId="21" customBuiltin="1"/>
    <cellStyle name="Texto de advertencia" xfId="179" builtinId="11" customBuiltin="1"/>
    <cellStyle name="Texto explicativo" xfId="181" builtinId="53" customBuiltin="1"/>
    <cellStyle name="Título" xfId="166" builtinId="15" customBuiltin="1"/>
    <cellStyle name="Título 2" xfId="168" builtinId="17" customBuiltin="1"/>
    <cellStyle name="Título 3" xfId="169" builtinId="18" customBuiltin="1"/>
    <cellStyle name="Total" xfId="182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tiago Calvo Prieto" refreshedDate="46106.545731828701" createdVersion="8" refreshedVersion="8" minRefreshableVersion="3" recordCount="48" xr:uid="{93C581A5-61B5-40FF-AC76-618DD97B7B96}">
  <cacheSource type="worksheet">
    <worksheetSource ref="A2:C50" sheet="Estatus diario"/>
  </cacheSource>
  <cacheFields count="3">
    <cacheField name="SEM" numFmtId="0">
      <sharedItems containsBlank="1" count="6">
        <s v="S1"/>
        <m/>
        <s v="S2"/>
        <s v="S3"/>
        <s v="S4"/>
        <s v="S5"/>
      </sharedItems>
    </cacheField>
    <cacheField name="S1" numFmtId="0">
      <sharedItems containsBlank="1" count="13">
        <s v="A1"/>
        <s v="A2"/>
        <s v="B1"/>
        <s v="B2"/>
        <s v="C1"/>
        <s v="C2"/>
        <m/>
        <s v="TL"/>
        <s v="S2"/>
        <s v="S3"/>
        <s v="S4"/>
        <s v="S5"/>
        <s v="C3" u="1"/>
      </sharedItems>
    </cacheField>
    <cacheField name="HS" numFmtId="0">
      <sharedItems containsBlank="1" containsMixedTypes="1" containsNumber="1" containsInteger="1" minValue="0" maxValue="753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1160"/>
  </r>
  <r>
    <x v="0"/>
    <x v="1"/>
    <n v="1098"/>
  </r>
  <r>
    <x v="0"/>
    <x v="2"/>
    <n v="1286"/>
  </r>
  <r>
    <x v="0"/>
    <x v="3"/>
    <n v="1392"/>
  </r>
  <r>
    <x v="0"/>
    <x v="4"/>
    <n v="1380"/>
  </r>
  <r>
    <x v="0"/>
    <x v="5"/>
    <n v="1222"/>
  </r>
  <r>
    <x v="0"/>
    <x v="6"/>
    <m/>
  </r>
  <r>
    <x v="0"/>
    <x v="7"/>
    <n v="7538"/>
  </r>
  <r>
    <x v="1"/>
    <x v="6"/>
    <m/>
  </r>
  <r>
    <x v="2"/>
    <x v="8"/>
    <s v="TL"/>
  </r>
  <r>
    <x v="2"/>
    <x v="0"/>
    <n v="0"/>
  </r>
  <r>
    <x v="2"/>
    <x v="1"/>
    <n v="0"/>
  </r>
  <r>
    <x v="2"/>
    <x v="2"/>
    <n v="0"/>
  </r>
  <r>
    <x v="2"/>
    <x v="3"/>
    <n v="0"/>
  </r>
  <r>
    <x v="2"/>
    <x v="4"/>
    <n v="0"/>
  </r>
  <r>
    <x v="2"/>
    <x v="5"/>
    <n v="0"/>
  </r>
  <r>
    <x v="2"/>
    <x v="6"/>
    <m/>
  </r>
  <r>
    <x v="2"/>
    <x v="7"/>
    <n v="0"/>
  </r>
  <r>
    <x v="1"/>
    <x v="6"/>
    <m/>
  </r>
  <r>
    <x v="3"/>
    <x v="9"/>
    <s v="TL"/>
  </r>
  <r>
    <x v="3"/>
    <x v="0"/>
    <n v="0"/>
  </r>
  <r>
    <x v="3"/>
    <x v="1"/>
    <n v="0"/>
  </r>
  <r>
    <x v="3"/>
    <x v="2"/>
    <n v="0"/>
  </r>
  <r>
    <x v="3"/>
    <x v="3"/>
    <n v="0"/>
  </r>
  <r>
    <x v="3"/>
    <x v="4"/>
    <n v="0"/>
  </r>
  <r>
    <x v="3"/>
    <x v="5"/>
    <n v="0"/>
  </r>
  <r>
    <x v="3"/>
    <x v="6"/>
    <m/>
  </r>
  <r>
    <x v="3"/>
    <x v="7"/>
    <n v="0"/>
  </r>
  <r>
    <x v="1"/>
    <x v="6"/>
    <m/>
  </r>
  <r>
    <x v="4"/>
    <x v="10"/>
    <s v="TL"/>
  </r>
  <r>
    <x v="4"/>
    <x v="0"/>
    <n v="0"/>
  </r>
  <r>
    <x v="4"/>
    <x v="1"/>
    <n v="0"/>
  </r>
  <r>
    <x v="4"/>
    <x v="2"/>
    <n v="0"/>
  </r>
  <r>
    <x v="4"/>
    <x v="3"/>
    <n v="0"/>
  </r>
  <r>
    <x v="4"/>
    <x v="4"/>
    <n v="0"/>
  </r>
  <r>
    <x v="4"/>
    <x v="5"/>
    <n v="0"/>
  </r>
  <r>
    <x v="4"/>
    <x v="6"/>
    <m/>
  </r>
  <r>
    <x v="4"/>
    <x v="7"/>
    <n v="0"/>
  </r>
  <r>
    <x v="1"/>
    <x v="6"/>
    <m/>
  </r>
  <r>
    <x v="5"/>
    <x v="11"/>
    <s v="TL"/>
  </r>
  <r>
    <x v="5"/>
    <x v="0"/>
    <n v="0"/>
  </r>
  <r>
    <x v="5"/>
    <x v="1"/>
    <n v="0"/>
  </r>
  <r>
    <x v="5"/>
    <x v="2"/>
    <n v="0"/>
  </r>
  <r>
    <x v="5"/>
    <x v="3"/>
    <n v="0"/>
  </r>
  <r>
    <x v="5"/>
    <x v="4"/>
    <n v="0"/>
  </r>
  <r>
    <x v="5"/>
    <x v="5"/>
    <n v="0"/>
  </r>
  <r>
    <x v="5"/>
    <x v="6"/>
    <m/>
  </r>
  <r>
    <x v="5"/>
    <x v="7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476416-5E19-428A-9C28-862565FD05AB}" name="TablaDinámica2" cacheId="99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O10:V17" firstHeaderRow="1" firstDataRow="2" firstDataCol="1"/>
  <pivotFields count="3">
    <pivotField axis="axisRow" showAll="0">
      <items count="7">
        <item x="0"/>
        <item x="2"/>
        <item x="3"/>
        <item x="4"/>
        <item x="5"/>
        <item x="1"/>
        <item t="default"/>
      </items>
    </pivotField>
    <pivotField axis="axisCol" showAll="0">
      <items count="14">
        <item x="0"/>
        <item x="1"/>
        <item x="2"/>
        <item x="3"/>
        <item x="4"/>
        <item x="5"/>
        <item m="1" x="12"/>
        <item h="1" x="8"/>
        <item h="1" x="9"/>
        <item h="1" x="10"/>
        <item h="1" x="11"/>
        <item h="1" x="7"/>
        <item h="1" x="6"/>
        <item t="default"/>
      </items>
    </pivotField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a de H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0F7AF-2A69-4C5E-9FF5-F9DB01805A13}">
  <dimension ref="A1:AF53"/>
  <sheetViews>
    <sheetView tabSelected="1" zoomScale="85" zoomScaleNormal="85" workbookViewId="0">
      <selection activeCell="O23" sqref="O23"/>
    </sheetView>
  </sheetViews>
  <sheetFormatPr baseColWidth="10" defaultRowHeight="15"/>
  <cols>
    <col min="10" max="10" width="8" customWidth="1"/>
    <col min="11" max="11" width="7.85546875" customWidth="1"/>
    <col min="12" max="13" width="0" hidden="1" customWidth="1"/>
    <col min="14" max="14" width="5.5703125" customWidth="1"/>
    <col min="15" max="15" width="17.85546875" bestFit="1" customWidth="1"/>
    <col min="16" max="16" width="22.85546875" bestFit="1" customWidth="1"/>
    <col min="17" max="21" width="5.140625" bestFit="1" customWidth="1"/>
    <col min="22" max="23" width="12.5703125" bestFit="1" customWidth="1"/>
    <col min="24" max="26" width="3.140625" bestFit="1" customWidth="1"/>
    <col min="27" max="27" width="3" bestFit="1" customWidth="1"/>
    <col min="28" max="28" width="11.140625" bestFit="1" customWidth="1"/>
    <col min="29" max="29" width="12.5703125" bestFit="1" customWidth="1"/>
  </cols>
  <sheetData>
    <row r="1" spans="1:22">
      <c r="A1" s="25" t="s">
        <v>19</v>
      </c>
      <c r="B1" s="25" t="s">
        <v>20</v>
      </c>
      <c r="C1" s="2" t="s">
        <v>2</v>
      </c>
      <c r="D1" s="4"/>
      <c r="E1" s="4"/>
      <c r="F1" s="4"/>
      <c r="G1" s="4"/>
      <c r="H1" s="4"/>
      <c r="I1" s="3"/>
      <c r="J1" s="3"/>
    </row>
    <row r="2" spans="1:22">
      <c r="A2" s="5" t="s">
        <v>0</v>
      </c>
      <c r="B2" s="6" t="s">
        <v>1</v>
      </c>
      <c r="C2" s="7" t="s">
        <v>2</v>
      </c>
      <c r="D2" s="8">
        <v>46084</v>
      </c>
      <c r="E2" s="8">
        <f>+D2+1</f>
        <v>46085</v>
      </c>
      <c r="F2" s="8">
        <f t="shared" ref="F2:G2" si="0">+E2+1</f>
        <v>46086</v>
      </c>
      <c r="G2" s="8">
        <f t="shared" si="0"/>
        <v>46087</v>
      </c>
      <c r="H2" s="8">
        <f>+G2+3</f>
        <v>46090</v>
      </c>
      <c r="I2" s="9" t="s">
        <v>3</v>
      </c>
      <c r="J2" s="1"/>
    </row>
    <row r="3" spans="1:22">
      <c r="A3" s="5" t="s">
        <v>1</v>
      </c>
      <c r="B3" s="10" t="s">
        <v>4</v>
      </c>
      <c r="C3" s="11">
        <f>+SUM(D3:H3)</f>
        <v>1160</v>
      </c>
      <c r="D3" s="31">
        <v>1160</v>
      </c>
      <c r="I3" s="26">
        <f>IFERROR(C3/6/COUNT(D3:H3),0)</f>
        <v>193.33333333333334</v>
      </c>
      <c r="J3" s="3"/>
    </row>
    <row r="4" spans="1:22">
      <c r="A4" s="13" t="s">
        <v>1</v>
      </c>
      <c r="B4" s="14" t="s">
        <v>5</v>
      </c>
      <c r="C4" s="11">
        <f t="shared" ref="C4:C8" si="1">+SUM(D4:H4)</f>
        <v>1098</v>
      </c>
      <c r="D4" s="31">
        <v>1098</v>
      </c>
      <c r="I4" s="26">
        <f t="shared" ref="I4:I10" si="2">IFERROR(C4/6/COUNT(D4:H4),0)</f>
        <v>183</v>
      </c>
      <c r="J4" s="3"/>
      <c r="O4" s="32" t="s">
        <v>21</v>
      </c>
      <c r="P4" s="32"/>
    </row>
    <row r="5" spans="1:22">
      <c r="A5" s="13" t="s">
        <v>1</v>
      </c>
      <c r="B5" s="10" t="s">
        <v>6</v>
      </c>
      <c r="C5" s="11">
        <f t="shared" si="1"/>
        <v>1286</v>
      </c>
      <c r="D5" s="31">
        <v>1286</v>
      </c>
      <c r="I5" s="26">
        <f t="shared" si="2"/>
        <v>214.33333333333334</v>
      </c>
      <c r="J5" s="3"/>
    </row>
    <row r="6" spans="1:22">
      <c r="A6" s="13" t="s">
        <v>1</v>
      </c>
      <c r="B6" s="14" t="s">
        <v>7</v>
      </c>
      <c r="C6" s="11">
        <f t="shared" si="1"/>
        <v>1392</v>
      </c>
      <c r="D6" s="31">
        <v>1392</v>
      </c>
      <c r="I6" s="26">
        <f t="shared" si="2"/>
        <v>232</v>
      </c>
      <c r="J6" s="3"/>
    </row>
    <row r="7" spans="1:22">
      <c r="A7" s="13" t="s">
        <v>1</v>
      </c>
      <c r="B7" s="10" t="s">
        <v>8</v>
      </c>
      <c r="C7" s="11">
        <f t="shared" si="1"/>
        <v>1380</v>
      </c>
      <c r="D7" s="31">
        <v>1380</v>
      </c>
      <c r="I7" s="26">
        <f t="shared" si="2"/>
        <v>230</v>
      </c>
      <c r="J7" s="3"/>
    </row>
    <row r="8" spans="1:22">
      <c r="A8" s="13" t="s">
        <v>1</v>
      </c>
      <c r="B8" s="10" t="s">
        <v>9</v>
      </c>
      <c r="C8" s="11">
        <f t="shared" si="1"/>
        <v>1222</v>
      </c>
      <c r="D8" s="31">
        <v>1222</v>
      </c>
      <c r="I8" s="26">
        <f t="shared" si="2"/>
        <v>203.66666666666666</v>
      </c>
      <c r="J8" s="3"/>
    </row>
    <row r="9" spans="1:22" hidden="1">
      <c r="A9" s="13" t="s">
        <v>1</v>
      </c>
      <c r="B9" s="15"/>
      <c r="C9" s="11"/>
      <c r="I9" s="26"/>
      <c r="J9" s="3"/>
    </row>
    <row r="10" spans="1:22">
      <c r="A10" s="13" t="s">
        <v>1</v>
      </c>
      <c r="B10" s="17" t="s">
        <v>10</v>
      </c>
      <c r="C10" s="18">
        <f>SUM(C3:C9)</f>
        <v>7538</v>
      </c>
      <c r="D10" s="19">
        <f>SUM(D3:D9)</f>
        <v>7538</v>
      </c>
      <c r="E10" s="19">
        <f t="shared" ref="E10:H10" si="3">SUM(E3:E9)</f>
        <v>0</v>
      </c>
      <c r="F10" s="19">
        <f t="shared" si="3"/>
        <v>0</v>
      </c>
      <c r="G10" s="19">
        <f t="shared" si="3"/>
        <v>0</v>
      </c>
      <c r="H10" s="19">
        <f t="shared" si="3"/>
        <v>0</v>
      </c>
      <c r="I10" s="26">
        <f t="shared" si="2"/>
        <v>251.26666666666665</v>
      </c>
      <c r="J10" s="20"/>
      <c r="O10" s="30" t="s">
        <v>18</v>
      </c>
      <c r="P10" s="30" t="s">
        <v>17</v>
      </c>
    </row>
    <row r="11" spans="1:22">
      <c r="A11" s="5"/>
      <c r="B11" s="3"/>
      <c r="C11" s="2"/>
      <c r="D11" s="21"/>
      <c r="E11" s="21"/>
      <c r="F11" s="21"/>
      <c r="G11" s="21"/>
      <c r="H11" s="21"/>
      <c r="I11" s="3"/>
      <c r="J11" s="3"/>
      <c r="O11" s="30" t="s">
        <v>15</v>
      </c>
      <c r="P11" t="s">
        <v>4</v>
      </c>
      <c r="Q11" t="s">
        <v>5</v>
      </c>
      <c r="R11" t="s">
        <v>6</v>
      </c>
      <c r="S11" t="s">
        <v>7</v>
      </c>
      <c r="T11" t="s">
        <v>8</v>
      </c>
      <c r="U11" t="s">
        <v>9</v>
      </c>
      <c r="V11" t="s">
        <v>16</v>
      </c>
    </row>
    <row r="12" spans="1:22">
      <c r="A12" s="5" t="s">
        <v>11</v>
      </c>
      <c r="B12" s="6" t="s">
        <v>11</v>
      </c>
      <c r="C12" s="7" t="s">
        <v>10</v>
      </c>
      <c r="D12" s="8">
        <f>+H2+1</f>
        <v>46091</v>
      </c>
      <c r="E12" s="8">
        <f>+D12+1</f>
        <v>46092</v>
      </c>
      <c r="F12" s="8">
        <f t="shared" ref="F12:G12" si="4">+E12+1</f>
        <v>46093</v>
      </c>
      <c r="G12" s="8">
        <f t="shared" si="4"/>
        <v>46094</v>
      </c>
      <c r="H12" s="8">
        <f>+G12+3</f>
        <v>46097</v>
      </c>
      <c r="I12" s="9" t="s">
        <v>3</v>
      </c>
      <c r="J12" s="1"/>
      <c r="O12" s="29" t="s">
        <v>1</v>
      </c>
      <c r="P12" s="35">
        <v>1160</v>
      </c>
      <c r="Q12" s="35">
        <v>1098</v>
      </c>
      <c r="R12" s="35">
        <v>1286</v>
      </c>
      <c r="S12" s="35">
        <v>1392</v>
      </c>
      <c r="T12" s="35">
        <v>1380</v>
      </c>
      <c r="U12" s="35">
        <v>1222</v>
      </c>
      <c r="V12" s="35">
        <v>7538</v>
      </c>
    </row>
    <row r="13" spans="1:22">
      <c r="A13" s="13" t="s">
        <v>11</v>
      </c>
      <c r="B13" s="10" t="s">
        <v>4</v>
      </c>
      <c r="C13" s="11">
        <f>+SUM(D13:H13)</f>
        <v>0</v>
      </c>
      <c r="I13" s="26">
        <f>IFERROR(C13/6/COUNT(D13:H13),0)</f>
        <v>0</v>
      </c>
      <c r="J13" s="3"/>
      <c r="O13" s="29" t="s">
        <v>11</v>
      </c>
      <c r="P13" s="35">
        <v>0</v>
      </c>
      <c r="Q13" s="35">
        <v>0</v>
      </c>
      <c r="R13" s="35">
        <v>0</v>
      </c>
      <c r="S13" s="35">
        <v>0</v>
      </c>
      <c r="T13" s="35">
        <v>0</v>
      </c>
      <c r="U13" s="35">
        <v>0</v>
      </c>
      <c r="V13" s="35">
        <v>0</v>
      </c>
    </row>
    <row r="14" spans="1:22">
      <c r="A14" s="13" t="s">
        <v>11</v>
      </c>
      <c r="B14" s="14" t="s">
        <v>5</v>
      </c>
      <c r="C14" s="11">
        <f t="shared" ref="C14:C18" si="5">+SUM(D14:H14)</f>
        <v>0</v>
      </c>
      <c r="I14" s="26">
        <f t="shared" ref="I14:I20" si="6">IFERROR(C14/6/COUNT(D14:H14),0)</f>
        <v>0</v>
      </c>
      <c r="J14" s="3"/>
      <c r="O14" s="29" t="s">
        <v>12</v>
      </c>
      <c r="P14" s="35">
        <v>0</v>
      </c>
      <c r="Q14" s="35">
        <v>0</v>
      </c>
      <c r="R14" s="35">
        <v>0</v>
      </c>
      <c r="S14" s="35">
        <v>0</v>
      </c>
      <c r="T14" s="35">
        <v>0</v>
      </c>
      <c r="U14" s="35">
        <v>0</v>
      </c>
      <c r="V14" s="35">
        <v>0</v>
      </c>
    </row>
    <row r="15" spans="1:22">
      <c r="A15" s="13" t="s">
        <v>11</v>
      </c>
      <c r="B15" s="10" t="s">
        <v>6</v>
      </c>
      <c r="C15" s="11">
        <f t="shared" si="5"/>
        <v>0</v>
      </c>
      <c r="I15" s="26">
        <f t="shared" si="6"/>
        <v>0</v>
      </c>
      <c r="J15" s="3"/>
      <c r="O15" s="29" t="s">
        <v>13</v>
      </c>
      <c r="P15" s="35">
        <v>0</v>
      </c>
      <c r="Q15" s="35">
        <v>0</v>
      </c>
      <c r="R15" s="35">
        <v>0</v>
      </c>
      <c r="S15" s="35">
        <v>0</v>
      </c>
      <c r="T15" s="35">
        <v>0</v>
      </c>
      <c r="U15" s="35">
        <v>0</v>
      </c>
      <c r="V15" s="35">
        <v>0</v>
      </c>
    </row>
    <row r="16" spans="1:22">
      <c r="A16" s="13" t="s">
        <v>11</v>
      </c>
      <c r="B16" s="14" t="s">
        <v>7</v>
      </c>
      <c r="C16" s="11">
        <f t="shared" si="5"/>
        <v>0</v>
      </c>
      <c r="I16" s="26">
        <f t="shared" si="6"/>
        <v>0</v>
      </c>
      <c r="J16" s="3"/>
      <c r="O16" s="29" t="s">
        <v>14</v>
      </c>
      <c r="P16" s="35">
        <v>0</v>
      </c>
      <c r="Q16" s="35">
        <v>0</v>
      </c>
      <c r="R16" s="35">
        <v>0</v>
      </c>
      <c r="S16" s="35">
        <v>0</v>
      </c>
      <c r="T16" s="35">
        <v>0</v>
      </c>
      <c r="U16" s="35">
        <v>0</v>
      </c>
      <c r="V16" s="35">
        <v>0</v>
      </c>
    </row>
    <row r="17" spans="1:32">
      <c r="A17" s="13" t="s">
        <v>11</v>
      </c>
      <c r="B17" s="10" t="s">
        <v>8</v>
      </c>
      <c r="C17" s="11">
        <f t="shared" si="5"/>
        <v>0</v>
      </c>
      <c r="I17" s="26">
        <f t="shared" si="6"/>
        <v>0</v>
      </c>
      <c r="J17" s="3"/>
      <c r="O17" s="29" t="s">
        <v>16</v>
      </c>
      <c r="P17" s="35">
        <v>1160</v>
      </c>
      <c r="Q17" s="35">
        <v>1098</v>
      </c>
      <c r="R17" s="35">
        <v>1286</v>
      </c>
      <c r="S17" s="35">
        <v>1392</v>
      </c>
      <c r="T17" s="35">
        <v>1380</v>
      </c>
      <c r="U17" s="35">
        <v>1222</v>
      </c>
      <c r="V17" s="35">
        <v>7538</v>
      </c>
    </row>
    <row r="18" spans="1:32">
      <c r="A18" s="13" t="s">
        <v>11</v>
      </c>
      <c r="B18" s="10" t="s">
        <v>9</v>
      </c>
      <c r="C18" s="11">
        <f t="shared" si="5"/>
        <v>0</v>
      </c>
      <c r="I18" s="26">
        <f t="shared" si="6"/>
        <v>0</v>
      </c>
      <c r="J18" s="3"/>
    </row>
    <row r="19" spans="1:32" hidden="1">
      <c r="A19" s="13" t="s">
        <v>11</v>
      </c>
      <c r="B19" s="15"/>
      <c r="C19" s="11"/>
      <c r="I19" s="26"/>
      <c r="J19" s="3"/>
    </row>
    <row r="20" spans="1:32">
      <c r="A20" s="13" t="s">
        <v>11</v>
      </c>
      <c r="B20" s="17" t="s">
        <v>10</v>
      </c>
      <c r="C20" s="18">
        <f>SUM(C13:C19)</f>
        <v>0</v>
      </c>
      <c r="D20" s="19">
        <f>SUM(D13:D19)</f>
        <v>0</v>
      </c>
      <c r="E20" s="19">
        <f t="shared" ref="E20:H20" si="7">SUM(E13:E19)</f>
        <v>0</v>
      </c>
      <c r="F20" s="19">
        <f t="shared" si="7"/>
        <v>0</v>
      </c>
      <c r="G20" s="19">
        <f t="shared" si="7"/>
        <v>0</v>
      </c>
      <c r="H20" s="19">
        <f t="shared" si="7"/>
        <v>0</v>
      </c>
      <c r="I20" s="26">
        <f t="shared" si="6"/>
        <v>0</v>
      </c>
      <c r="J20" s="20"/>
    </row>
    <row r="21" spans="1:32">
      <c r="A21" s="33"/>
      <c r="B21" s="33"/>
      <c r="C21" s="2"/>
      <c r="D21" s="21"/>
      <c r="E21" s="21"/>
      <c r="F21" s="21"/>
      <c r="G21" s="21"/>
      <c r="H21" s="21"/>
      <c r="I21" s="3"/>
      <c r="J21" s="3"/>
      <c r="O21" s="32" t="s">
        <v>22</v>
      </c>
      <c r="P21" s="32"/>
    </row>
    <row r="22" spans="1:32">
      <c r="A22" s="5" t="s">
        <v>12</v>
      </c>
      <c r="B22" s="6" t="s">
        <v>12</v>
      </c>
      <c r="C22" s="7" t="s">
        <v>10</v>
      </c>
      <c r="D22" s="8">
        <f>+H12+1</f>
        <v>46098</v>
      </c>
      <c r="E22" s="8">
        <f>+D22+1</f>
        <v>46099</v>
      </c>
      <c r="F22" s="8">
        <f t="shared" ref="F22:G22" si="8">+E22+1</f>
        <v>46100</v>
      </c>
      <c r="G22" s="8">
        <f t="shared" si="8"/>
        <v>46101</v>
      </c>
      <c r="H22" s="8">
        <f>+G22+3</f>
        <v>46104</v>
      </c>
      <c r="I22" s="9" t="s">
        <v>3</v>
      </c>
      <c r="J22" s="1"/>
      <c r="O22" s="28">
        <v>46105.854166666664</v>
      </c>
    </row>
    <row r="23" spans="1:32">
      <c r="A23" s="13" t="s">
        <v>12</v>
      </c>
      <c r="B23" s="10" t="s">
        <v>4</v>
      </c>
      <c r="C23" s="11">
        <f>+SUM(D23:H23)</f>
        <v>0</v>
      </c>
      <c r="I23" s="26">
        <f>IFERROR(C23/6/COUNT(D23:H23),0)</f>
        <v>0</v>
      </c>
      <c r="J23" s="3"/>
    </row>
    <row r="24" spans="1:32">
      <c r="A24" s="13" t="s">
        <v>12</v>
      </c>
      <c r="B24" s="14" t="s">
        <v>5</v>
      </c>
      <c r="C24" s="11">
        <f t="shared" ref="C24:C28" si="9">+SUM(D24:H24)</f>
        <v>0</v>
      </c>
      <c r="I24" s="26">
        <f t="shared" ref="I24:I30" si="10">IFERROR(C24/6/COUNT(D24:H24),0)</f>
        <v>0</v>
      </c>
      <c r="J24" s="3"/>
    </row>
    <row r="25" spans="1:32">
      <c r="A25" s="13" t="s">
        <v>12</v>
      </c>
      <c r="B25" s="10" t="s">
        <v>6</v>
      </c>
      <c r="C25" s="11">
        <f t="shared" si="9"/>
        <v>0</v>
      </c>
      <c r="I25" s="26">
        <f t="shared" si="10"/>
        <v>0</v>
      </c>
      <c r="J25" s="3"/>
    </row>
    <row r="26" spans="1:32">
      <c r="A26" s="13" t="s">
        <v>12</v>
      </c>
      <c r="B26" s="14" t="s">
        <v>7</v>
      </c>
      <c r="C26" s="11">
        <f t="shared" si="9"/>
        <v>0</v>
      </c>
      <c r="I26" s="26">
        <f t="shared" si="10"/>
        <v>0</v>
      </c>
      <c r="J26" s="3"/>
    </row>
    <row r="27" spans="1:32">
      <c r="A27" s="13" t="s">
        <v>12</v>
      </c>
      <c r="B27" s="10" t="s">
        <v>8</v>
      </c>
      <c r="C27" s="11">
        <f t="shared" si="9"/>
        <v>0</v>
      </c>
      <c r="I27" s="26">
        <f t="shared" si="10"/>
        <v>0</v>
      </c>
      <c r="J27" s="3"/>
    </row>
    <row r="28" spans="1:32">
      <c r="A28" s="13" t="s">
        <v>12</v>
      </c>
      <c r="B28" s="10" t="s">
        <v>9</v>
      </c>
      <c r="C28" s="11">
        <f t="shared" si="9"/>
        <v>0</v>
      </c>
      <c r="I28" s="26">
        <f t="shared" si="10"/>
        <v>0</v>
      </c>
      <c r="J28" s="3"/>
    </row>
    <row r="29" spans="1:32" hidden="1">
      <c r="A29" s="13" t="s">
        <v>12</v>
      </c>
      <c r="B29" s="15"/>
      <c r="C29" s="11"/>
      <c r="I29" s="26"/>
      <c r="J29" s="3"/>
    </row>
    <row r="30" spans="1:32">
      <c r="A30" s="13" t="s">
        <v>12</v>
      </c>
      <c r="B30" s="17" t="s">
        <v>10</v>
      </c>
      <c r="C30" s="18">
        <f t="shared" ref="C30:H30" si="11">SUM(C23:C29)</f>
        <v>0</v>
      </c>
      <c r="D30" s="19">
        <f t="shared" si="11"/>
        <v>0</v>
      </c>
      <c r="E30" s="19">
        <f t="shared" si="11"/>
        <v>0</v>
      </c>
      <c r="F30" s="19">
        <f t="shared" si="11"/>
        <v>0</v>
      </c>
      <c r="G30" s="19">
        <f t="shared" si="11"/>
        <v>0</v>
      </c>
      <c r="H30" s="19">
        <f t="shared" si="11"/>
        <v>0</v>
      </c>
      <c r="I30" s="26">
        <f t="shared" si="10"/>
        <v>0</v>
      </c>
      <c r="J30" s="20"/>
    </row>
    <row r="31" spans="1:32">
      <c r="A31" s="34"/>
      <c r="B31" s="34"/>
      <c r="C31" s="3"/>
      <c r="D31" s="3"/>
      <c r="E31" s="3"/>
      <c r="F31" s="3"/>
      <c r="G31" s="3"/>
      <c r="H31" s="3"/>
      <c r="I31" s="3"/>
      <c r="J31" s="3"/>
      <c r="AF31" s="27"/>
    </row>
    <row r="32" spans="1:32">
      <c r="A32" s="5" t="s">
        <v>13</v>
      </c>
      <c r="B32" s="6" t="s">
        <v>13</v>
      </c>
      <c r="C32" s="7" t="s">
        <v>10</v>
      </c>
      <c r="D32" s="8">
        <f>+H22+1</f>
        <v>46105</v>
      </c>
      <c r="E32" s="8">
        <f>+D32+1</f>
        <v>46106</v>
      </c>
      <c r="F32" s="8">
        <f t="shared" ref="F32:G32" si="12">+E32+1</f>
        <v>46107</v>
      </c>
      <c r="G32" s="8">
        <f t="shared" si="12"/>
        <v>46108</v>
      </c>
      <c r="H32" s="8">
        <f>+G32+3</f>
        <v>46111</v>
      </c>
      <c r="I32" s="9" t="s">
        <v>3</v>
      </c>
      <c r="J32" s="1"/>
      <c r="AF32" s="27"/>
    </row>
    <row r="33" spans="1:32">
      <c r="A33" s="13" t="s">
        <v>13</v>
      </c>
      <c r="B33" s="10" t="s">
        <v>4</v>
      </c>
      <c r="C33" s="11">
        <f>+SUM(D33:H33)</f>
        <v>0</v>
      </c>
      <c r="E33" s="12"/>
      <c r="F33" s="12"/>
      <c r="G33" s="12"/>
      <c r="H33" s="12"/>
      <c r="I33" s="26">
        <f>IFERROR(C33/6/COUNT(D33:H33),0)</f>
        <v>0</v>
      </c>
      <c r="J33" s="3"/>
      <c r="AF33" s="27"/>
    </row>
    <row r="34" spans="1:32">
      <c r="A34" s="13" t="s">
        <v>13</v>
      </c>
      <c r="B34" s="14" t="s">
        <v>5</v>
      </c>
      <c r="C34" s="11">
        <f t="shared" ref="C34:C38" si="13">+SUM(D34:H34)</f>
        <v>0</v>
      </c>
      <c r="E34" s="12"/>
      <c r="F34" s="12"/>
      <c r="G34" s="12"/>
      <c r="H34" s="12"/>
      <c r="I34" s="26">
        <f t="shared" ref="I34:I40" si="14">IFERROR(C34/6/COUNT(D34:H34),0)</f>
        <v>0</v>
      </c>
      <c r="J34" s="3"/>
      <c r="AF34" s="27"/>
    </row>
    <row r="35" spans="1:32">
      <c r="A35" s="13" t="s">
        <v>13</v>
      </c>
      <c r="B35" s="10" t="s">
        <v>6</v>
      </c>
      <c r="C35" s="11">
        <f t="shared" si="13"/>
        <v>0</v>
      </c>
      <c r="E35" s="12"/>
      <c r="F35" s="12"/>
      <c r="G35" s="12"/>
      <c r="H35" s="12"/>
      <c r="I35" s="26">
        <f t="shared" si="14"/>
        <v>0</v>
      </c>
      <c r="J35" s="3"/>
      <c r="AF35" s="27"/>
    </row>
    <row r="36" spans="1:32">
      <c r="A36" s="13" t="s">
        <v>13</v>
      </c>
      <c r="B36" s="14" t="s">
        <v>7</v>
      </c>
      <c r="C36" s="11">
        <f t="shared" si="13"/>
        <v>0</v>
      </c>
      <c r="E36" s="12"/>
      <c r="F36" s="12"/>
      <c r="G36" s="12"/>
      <c r="H36" s="12"/>
      <c r="I36" s="26">
        <f t="shared" si="14"/>
        <v>0</v>
      </c>
      <c r="J36" s="3"/>
      <c r="AF36" s="27"/>
    </row>
    <row r="37" spans="1:32">
      <c r="A37" s="13" t="s">
        <v>13</v>
      </c>
      <c r="B37" s="10" t="s">
        <v>8</v>
      </c>
      <c r="C37" s="11">
        <f t="shared" si="13"/>
        <v>0</v>
      </c>
      <c r="E37" s="12"/>
      <c r="F37" s="12"/>
      <c r="G37" s="12"/>
      <c r="H37" s="12"/>
      <c r="I37" s="26">
        <f t="shared" si="14"/>
        <v>0</v>
      </c>
      <c r="J37" s="3"/>
      <c r="AF37" s="27"/>
    </row>
    <row r="38" spans="1:32">
      <c r="A38" s="13" t="s">
        <v>13</v>
      </c>
      <c r="B38" s="10" t="s">
        <v>9</v>
      </c>
      <c r="C38" s="11">
        <f t="shared" si="13"/>
        <v>0</v>
      </c>
      <c r="E38" s="12"/>
      <c r="F38" s="12"/>
      <c r="G38" s="12"/>
      <c r="H38" s="12"/>
      <c r="I38" s="26">
        <f t="shared" si="14"/>
        <v>0</v>
      </c>
      <c r="J38" s="3"/>
      <c r="AF38" s="27"/>
    </row>
    <row r="39" spans="1:32" hidden="1">
      <c r="A39" s="13" t="s">
        <v>13</v>
      </c>
      <c r="B39" s="15"/>
      <c r="C39" s="11"/>
      <c r="D39" s="16"/>
      <c r="E39" s="16"/>
      <c r="F39" s="16"/>
      <c r="G39" s="16"/>
      <c r="H39" s="16"/>
      <c r="I39" s="26"/>
      <c r="J39" s="3"/>
      <c r="AF39" s="27"/>
    </row>
    <row r="40" spans="1:32">
      <c r="A40" s="13" t="s">
        <v>13</v>
      </c>
      <c r="B40" s="17" t="s">
        <v>10</v>
      </c>
      <c r="C40" s="18">
        <f t="shared" ref="C40:H40" si="15">SUM(C33:C39)</f>
        <v>0</v>
      </c>
      <c r="D40" s="19">
        <f t="shared" si="15"/>
        <v>0</v>
      </c>
      <c r="E40" s="19">
        <f t="shared" si="15"/>
        <v>0</v>
      </c>
      <c r="F40" s="19">
        <f t="shared" si="15"/>
        <v>0</v>
      </c>
      <c r="G40" s="19">
        <f t="shared" si="15"/>
        <v>0</v>
      </c>
      <c r="H40" s="19">
        <f t="shared" si="15"/>
        <v>0</v>
      </c>
      <c r="I40" s="26">
        <f t="shared" si="14"/>
        <v>0</v>
      </c>
      <c r="J40" s="20"/>
      <c r="AF40" s="27"/>
    </row>
    <row r="41" spans="1:32">
      <c r="A41" s="34"/>
      <c r="B41" s="34"/>
      <c r="C41" s="3"/>
      <c r="D41" s="3"/>
      <c r="E41" s="3"/>
      <c r="F41" s="3"/>
      <c r="G41" s="3"/>
      <c r="H41" s="3"/>
      <c r="I41" s="3"/>
      <c r="J41" s="3"/>
      <c r="AF41" s="27"/>
    </row>
    <row r="42" spans="1:32">
      <c r="A42" s="5" t="s">
        <v>14</v>
      </c>
      <c r="B42" s="6" t="s">
        <v>14</v>
      </c>
      <c r="C42" s="7" t="s">
        <v>10</v>
      </c>
      <c r="D42" s="8">
        <f>+H32+1</f>
        <v>46112</v>
      </c>
      <c r="E42" s="8">
        <f>+D42+1</f>
        <v>46113</v>
      </c>
      <c r="F42" s="8">
        <f t="shared" ref="F42:G42" si="16">+E42+1</f>
        <v>46114</v>
      </c>
      <c r="G42" s="8">
        <f t="shared" si="16"/>
        <v>46115</v>
      </c>
      <c r="H42" s="8">
        <f>+G42+3</f>
        <v>46118</v>
      </c>
      <c r="I42" s="9" t="s">
        <v>3</v>
      </c>
      <c r="J42" s="1"/>
      <c r="AF42" s="27"/>
    </row>
    <row r="43" spans="1:32">
      <c r="A43" s="13" t="s">
        <v>14</v>
      </c>
      <c r="B43" s="10" t="s">
        <v>4</v>
      </c>
      <c r="C43" s="11">
        <f>+SUM(D43:H43)</f>
        <v>0</v>
      </c>
      <c r="D43" s="12"/>
      <c r="E43" s="12"/>
      <c r="F43" s="12"/>
      <c r="G43" s="12"/>
      <c r="H43" s="12"/>
      <c r="I43" s="26">
        <f>IFERROR(C43/6/COUNT(D43:H43),0)</f>
        <v>0</v>
      </c>
      <c r="J43" s="3"/>
      <c r="AF43" s="27"/>
    </row>
    <row r="44" spans="1:32">
      <c r="A44" s="13" t="s">
        <v>14</v>
      </c>
      <c r="B44" s="14" t="s">
        <v>5</v>
      </c>
      <c r="C44" s="11">
        <f t="shared" ref="C44:C48" si="17">+SUM(D44:H44)</f>
        <v>0</v>
      </c>
      <c r="D44" s="12"/>
      <c r="E44" s="12"/>
      <c r="F44" s="12"/>
      <c r="G44" s="12"/>
      <c r="H44" s="12"/>
      <c r="I44" s="26">
        <f t="shared" ref="I44:I50" si="18">IFERROR(C44/6/COUNT(D44:H44),0)</f>
        <v>0</v>
      </c>
      <c r="J44" s="3"/>
      <c r="AF44" s="27"/>
    </row>
    <row r="45" spans="1:32">
      <c r="A45" s="13" t="s">
        <v>14</v>
      </c>
      <c r="B45" s="10" t="s">
        <v>6</v>
      </c>
      <c r="C45" s="11">
        <f t="shared" si="17"/>
        <v>0</v>
      </c>
      <c r="D45" s="12"/>
      <c r="E45" s="12"/>
      <c r="F45" s="12"/>
      <c r="G45" s="12"/>
      <c r="H45" s="12"/>
      <c r="I45" s="26">
        <f t="shared" si="18"/>
        <v>0</v>
      </c>
      <c r="J45" s="3"/>
      <c r="AF45" s="27"/>
    </row>
    <row r="46" spans="1:32">
      <c r="A46" s="13" t="s">
        <v>14</v>
      </c>
      <c r="B46" s="14" t="s">
        <v>7</v>
      </c>
      <c r="C46" s="11">
        <f t="shared" si="17"/>
        <v>0</v>
      </c>
      <c r="D46" s="12"/>
      <c r="E46" s="12"/>
      <c r="F46" s="12"/>
      <c r="G46" s="12"/>
      <c r="H46" s="12"/>
      <c r="I46" s="26">
        <f t="shared" si="18"/>
        <v>0</v>
      </c>
      <c r="J46" s="3"/>
      <c r="AF46" s="27"/>
    </row>
    <row r="47" spans="1:32">
      <c r="A47" s="13" t="s">
        <v>14</v>
      </c>
      <c r="B47" s="10" t="s">
        <v>8</v>
      </c>
      <c r="C47" s="11">
        <f t="shared" si="17"/>
        <v>0</v>
      </c>
      <c r="D47" s="12"/>
      <c r="E47" s="12"/>
      <c r="F47" s="12"/>
      <c r="G47" s="12"/>
      <c r="H47" s="12"/>
      <c r="I47" s="26">
        <f t="shared" si="18"/>
        <v>0</v>
      </c>
      <c r="J47" s="3"/>
      <c r="AF47" s="27"/>
    </row>
    <row r="48" spans="1:32">
      <c r="A48" s="13" t="s">
        <v>14</v>
      </c>
      <c r="B48" s="10" t="s">
        <v>9</v>
      </c>
      <c r="C48" s="11">
        <f t="shared" si="17"/>
        <v>0</v>
      </c>
      <c r="D48" s="12"/>
      <c r="E48" s="12"/>
      <c r="F48" s="12"/>
      <c r="G48" s="12"/>
      <c r="H48" s="12"/>
      <c r="I48" s="26">
        <f t="shared" si="18"/>
        <v>0</v>
      </c>
      <c r="J48" s="3"/>
      <c r="AF48" s="27"/>
    </row>
    <row r="49" spans="1:32" hidden="1">
      <c r="A49" s="13" t="s">
        <v>14</v>
      </c>
      <c r="B49" s="15"/>
      <c r="C49" s="11"/>
      <c r="D49" s="16"/>
      <c r="E49" s="16"/>
      <c r="F49" s="16"/>
      <c r="G49" s="16"/>
      <c r="H49" s="16"/>
      <c r="I49" s="26"/>
      <c r="J49" s="3"/>
      <c r="AF49" s="27"/>
    </row>
    <row r="50" spans="1:32">
      <c r="A50" s="13" t="s">
        <v>14</v>
      </c>
      <c r="B50" s="17" t="s">
        <v>10</v>
      </c>
      <c r="C50" s="22">
        <f>SUM(C43:C49)</f>
        <v>0</v>
      </c>
      <c r="D50" s="23">
        <f>SUM(D43:D49)</f>
        <v>0</v>
      </c>
      <c r="E50" s="23">
        <f t="shared" ref="E50:H50" si="19">SUM(E43:E49)</f>
        <v>0</v>
      </c>
      <c r="F50" s="23">
        <f t="shared" si="19"/>
        <v>0</v>
      </c>
      <c r="G50" s="23">
        <f t="shared" si="19"/>
        <v>0</v>
      </c>
      <c r="H50" s="23">
        <f t="shared" si="19"/>
        <v>0</v>
      </c>
      <c r="I50" s="26">
        <f t="shared" si="18"/>
        <v>0</v>
      </c>
      <c r="J50" s="20"/>
      <c r="AF50" s="27"/>
    </row>
    <row r="51" spans="1:32">
      <c r="A51" s="33"/>
      <c r="B51" s="33"/>
      <c r="C51" s="2"/>
      <c r="D51" s="24"/>
      <c r="E51" s="24"/>
      <c r="F51" s="24"/>
      <c r="G51" s="24"/>
      <c r="H51" s="24"/>
      <c r="I51" s="3"/>
      <c r="J51" s="3"/>
      <c r="AF51" s="27"/>
    </row>
    <row r="52" spans="1:32">
      <c r="A52" s="33"/>
      <c r="B52" s="33"/>
      <c r="C52" s="2"/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3"/>
      <c r="J52" s="3"/>
    </row>
    <row r="53" spans="1:32">
      <c r="A53" s="33"/>
      <c r="B53" s="33"/>
      <c r="C53" s="3"/>
      <c r="D53" s="3"/>
      <c r="E53" s="3"/>
      <c r="F53" s="3"/>
      <c r="G53" s="3"/>
      <c r="H53" s="3"/>
      <c r="I53" s="3"/>
      <c r="J53" s="3"/>
    </row>
  </sheetData>
  <mergeCells count="8">
    <mergeCell ref="O4:P4"/>
    <mergeCell ref="A51:B51"/>
    <mergeCell ref="A52:B52"/>
    <mergeCell ref="A53:B53"/>
    <mergeCell ref="A21:B21"/>
    <mergeCell ref="A31:B31"/>
    <mergeCell ref="A41:B41"/>
    <mergeCell ref="O21:P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2BD1A1B5CAC249A95BCCCA1576DD25" ma:contentTypeVersion="15" ma:contentTypeDescription="Create a new document." ma:contentTypeScope="" ma:versionID="95d80e3e9b41a0cd0f31651385762a39">
  <xsd:schema xmlns:xsd="http://www.w3.org/2001/XMLSchema" xmlns:xs="http://www.w3.org/2001/XMLSchema" xmlns:p="http://schemas.microsoft.com/office/2006/metadata/properties" xmlns:ns2="e4f8e1ef-7590-4615-a0b0-41d92864fb7e" xmlns:ns3="396b9688-3d64-4f4f-b40d-59fd809f50b1" targetNamespace="http://schemas.microsoft.com/office/2006/metadata/properties" ma:root="true" ma:fieldsID="0c785e827d86c3245c0f7c251e0c72c1" ns2:_="" ns3:_="">
    <xsd:import namespace="e4f8e1ef-7590-4615-a0b0-41d92864fb7e"/>
    <xsd:import namespace="396b9688-3d64-4f4f-b40d-59fd809f50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f8e1ef-7590-4615-a0b0-41d92864f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e055066-1d0b-4836-b0e5-54071a00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b9688-3d64-4f4f-b40d-59fd809f50b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bc5e357-ab1f-46ac-95c6-94fe6785f860}" ma:internalName="TaxCatchAll" ma:showField="CatchAllData" ma:web="396b9688-3d64-4f4f-b40d-59fd809f50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6b9688-3d64-4f4f-b40d-59fd809f50b1" xsi:nil="true"/>
    <lcf76f155ced4ddcb4097134ff3c332f xmlns="e4f8e1ef-7590-4615-a0b0-41d92864fb7e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6A93179-9D9C-4D14-A08B-C1A220B5EC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f8e1ef-7590-4615-a0b0-41d92864fb7e"/>
    <ds:schemaRef ds:uri="396b9688-3d64-4f4f-b40d-59fd809f5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3BCA648-DFB0-4933-AD78-DBDD8CAF7C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07506E0-0CDE-4051-B6C4-9C0A8A8B90A4}">
  <ds:schemaRefs>
    <ds:schemaRef ds:uri="http://schemas.microsoft.com/office/2006/metadata/properties"/>
    <ds:schemaRef ds:uri="http://schemas.microsoft.com/office/infopath/2007/PartnerControls"/>
    <ds:schemaRef ds:uri="396b9688-3d64-4f4f-b40d-59fd809f50b1"/>
    <ds:schemaRef ds:uri="e4f8e1ef-7590-4615-a0b0-41d92864fb7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Estatus diario</vt:lpstr>
    </vt:vector>
  </TitlesOfParts>
  <Company>PLANETA INNOVACION,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Calvo Prieto</dc:creator>
  <cp:lastModifiedBy>Santiago Calvo Prieto</cp:lastModifiedBy>
  <dcterms:created xsi:type="dcterms:W3CDTF">2025-07-28T16:00:59Z</dcterms:created>
  <dcterms:modified xsi:type="dcterms:W3CDTF">2026-03-25T12:05:52Z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0x010100A62BD1A1B5CAC249A95BCCCA1576DD25</vt:lpwstr>
  </property>
  <property fmtid="{D5CDD505-2E9C-101B-9397-08002B2CF9AE}" pid="3" name="MediaServiceImageTags">
    <vt:lpwstr/>
  </property>
</Properties>
</file>