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planeta.sharepoint.com/sites/BIPOWER/Shared Documents/General/Distribución Atenea/Codigos/Distribución OBS/"/>
    </mc:Choice>
  </mc:AlternateContent>
  <xr:revisionPtr revIDLastSave="27" documentId="13_ncr:1_{0AD06FF4-A909-423F-B378-69C0033412ED}" xr6:coauthVersionLast="47" xr6:coauthVersionMax="47" xr10:uidLastSave="{5180EEA4-8255-40E7-B53F-1ACFD26231B6}"/>
  <bookViews>
    <workbookView xWindow="28680" yWindow="4440" windowWidth="20730" windowHeight="11040" xr2:uid="{EF95C2B5-218E-4516-887F-CDE11964293A}"/>
  </bookViews>
  <sheets>
    <sheet name="Estatus diario" sheetId="1" r:id="rId1"/>
  </sheets>
  <calcPr calcId="191029"/>
  <pivotCaches>
    <pivotCache cacheId="3447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F2" i="1" s="1"/>
  <c r="G2" i="1" s="1"/>
  <c r="H2" i="1" s="1"/>
  <c r="D12" i="1" s="1"/>
  <c r="E12" i="1" s="1"/>
  <c r="F12" i="1" s="1"/>
  <c r="G12" i="1" s="1"/>
  <c r="H12" i="1" s="1"/>
  <c r="D22" i="1" s="1"/>
  <c r="E22" i="1" s="1"/>
  <c r="F22" i="1" s="1"/>
  <c r="G22" i="1" s="1"/>
  <c r="H22" i="1" s="1"/>
  <c r="D32" i="1" s="1"/>
  <c r="E32" i="1" s="1"/>
  <c r="F32" i="1" s="1"/>
  <c r="G32" i="1" s="1"/>
  <c r="H32" i="1" s="1"/>
  <c r="D42" i="1" s="1"/>
  <c r="E42" i="1" s="1"/>
  <c r="F42" i="1" s="1"/>
  <c r="G42" i="1" s="1"/>
  <c r="H42" i="1" s="1"/>
  <c r="E50" i="1"/>
  <c r="F50" i="1"/>
  <c r="G50" i="1"/>
  <c r="H50" i="1"/>
  <c r="D50" i="1"/>
  <c r="E40" i="1"/>
  <c r="F40" i="1"/>
  <c r="G40" i="1"/>
  <c r="H40" i="1"/>
  <c r="D40" i="1"/>
  <c r="E30" i="1"/>
  <c r="F30" i="1"/>
  <c r="G30" i="1"/>
  <c r="H30" i="1"/>
  <c r="D30" i="1"/>
  <c r="C44" i="1"/>
  <c r="I44" i="1" s="1"/>
  <c r="C45" i="1"/>
  <c r="I45" i="1" s="1"/>
  <c r="C46" i="1"/>
  <c r="I46" i="1" s="1"/>
  <c r="C47" i="1"/>
  <c r="I47" i="1" s="1"/>
  <c r="C48" i="1"/>
  <c r="I48" i="1" s="1"/>
  <c r="C43" i="1"/>
  <c r="C34" i="1"/>
  <c r="I34" i="1" s="1"/>
  <c r="C35" i="1"/>
  <c r="I35" i="1" s="1"/>
  <c r="C36" i="1"/>
  <c r="I36" i="1" s="1"/>
  <c r="C37" i="1"/>
  <c r="I37" i="1" s="1"/>
  <c r="C38" i="1"/>
  <c r="I38" i="1" s="1"/>
  <c r="C33" i="1"/>
  <c r="C24" i="1"/>
  <c r="I24" i="1" s="1"/>
  <c r="C25" i="1"/>
  <c r="I25" i="1" s="1"/>
  <c r="C26" i="1"/>
  <c r="I26" i="1" s="1"/>
  <c r="C27" i="1"/>
  <c r="I27" i="1" s="1"/>
  <c r="C28" i="1"/>
  <c r="I28" i="1" s="1"/>
  <c r="C23" i="1"/>
  <c r="I23" i="1" s="1"/>
  <c r="F10" i="1" l="1"/>
  <c r="C8" i="1"/>
  <c r="I8" i="1" s="1"/>
  <c r="C16" i="1"/>
  <c r="I16" i="1" s="1"/>
  <c r="G20" i="1"/>
  <c r="C15" i="1"/>
  <c r="I15" i="1" s="1"/>
  <c r="G10" i="1"/>
  <c r="H10" i="1"/>
  <c r="C4" i="1"/>
  <c r="I4" i="1" s="1"/>
  <c r="C5" i="1"/>
  <c r="I5" i="1" s="1"/>
  <c r="C7" i="1"/>
  <c r="I7" i="1" s="1"/>
  <c r="C6" i="1"/>
  <c r="I6" i="1" s="1"/>
  <c r="E10" i="1"/>
  <c r="C3" i="1"/>
  <c r="I3" i="1" s="1"/>
  <c r="D10" i="1"/>
  <c r="H20" i="1"/>
  <c r="C14" i="1"/>
  <c r="I14" i="1" s="1"/>
  <c r="C17" i="1"/>
  <c r="I17" i="1" s="1"/>
  <c r="E20" i="1"/>
  <c r="F20" i="1"/>
  <c r="C18" i="1"/>
  <c r="I18" i="1" s="1"/>
  <c r="C13" i="1"/>
  <c r="I13" i="1" s="1"/>
  <c r="D20" i="1"/>
  <c r="C40" i="1"/>
  <c r="I40" i="1" s="1"/>
  <c r="I33" i="1"/>
  <c r="C50" i="1"/>
  <c r="I50" i="1" s="1"/>
  <c r="I43" i="1"/>
  <c r="C30" i="1"/>
  <c r="I30" i="1" s="1"/>
  <c r="C10" i="1" l="1"/>
  <c r="I10" i="1" s="1"/>
  <c r="C20" i="1"/>
  <c r="I20" i="1" s="1"/>
</calcChain>
</file>

<file path=xl/sharedStrings.xml><?xml version="1.0" encoding="utf-8"?>
<sst xmlns="http://schemas.openxmlformats.org/spreadsheetml/2006/main" count="116" uniqueCount="23">
  <si>
    <t>SEM</t>
  </si>
  <si>
    <t>S1</t>
  </si>
  <si>
    <t>HS</t>
  </si>
  <si>
    <t># AC</t>
  </si>
  <si>
    <t>A1</t>
  </si>
  <si>
    <t>A2</t>
  </si>
  <si>
    <t>B1</t>
  </si>
  <si>
    <t>B2</t>
  </si>
  <si>
    <t>C1</t>
  </si>
  <si>
    <t>C2</t>
  </si>
  <si>
    <t>TL</t>
  </si>
  <si>
    <t>S2</t>
  </si>
  <si>
    <t>S3</t>
  </si>
  <si>
    <t>S4</t>
  </si>
  <si>
    <t>S5</t>
  </si>
  <si>
    <t>Etiquetas de fila</t>
  </si>
  <si>
    <t>Total general</t>
  </si>
  <si>
    <t>Etiquetas de columna</t>
  </si>
  <si>
    <t>Suma de HS</t>
  </si>
  <si>
    <t>Semanas</t>
  </si>
  <si>
    <t>Equipos</t>
  </si>
  <si>
    <t>** RECUERDA ACTUALIZAR LA TABLA DINÁMICA**</t>
  </si>
  <si>
    <t>Hora de corte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</si>
</sst>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0.0"/>
  </numFmts>
  <fonts count="16" x14ac:knownFonts="1">
    <font>
      <sz val="11"/>
      <color theme="1"/>
      <name val="Aptos Narrow"/>
      <family val="2"/>
      <scheme val="minor"/>
    </font>
    <font>
      <sz val="11"/>
      <color rgb="FF80808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80808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00"/>
      <name val="Aptos"/>
      <family val="2"/>
    </font>
    <font>
      <i/>
      <sz val="11"/>
      <color rgb="FF808080"/>
      <name val="Aptos Narrow"/>
      <family val="2"/>
      <scheme val="minor"/>
    </font>
    <font>
      <b/>
      <sz val="11"/>
      <color rgb="FF006100"/>
      <name val="Aptos Narrow"/>
      <family val="2"/>
      <scheme val="minor"/>
    </font>
    <font>
      <sz val="11"/>
      <color rgb="FFFFFFFF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</font>
    <font>
      <u/>
      <sz val="11"/>
      <color theme="10"/>
      <name val="Aptos Narrow"/>
      <family val="2"/>
      <scheme val="minor"/>
    </font>
    <font>
      <sz val="11"/>
      <name val="Aptos Narrow"/>
      <family val="2"/>
    </font>
    <font>
      <sz val="1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C6EFCE"/>
        <bgColor rgb="FF000000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9">
    <xf numFmtId="0" fontId="0" fillId="0" borderId="0"/>
    <xf numFmtId="0" fontId="12" fillId="0" borderId="0"/>
    <xf numFmtId="0" fontId="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4" fillId="0" borderId="0"/>
    <xf numFmtId="0" fontId="15" fillId="0" borderId="0"/>
    <xf numFmtId="9" fontId="15" fillId="0" borderId="0" applyFont="0" applyFill="0" applyBorder="0" applyAlignment="0" applyProtection="0"/>
    <xf numFmtId="0" fontId="13" fillId="0" borderId="0" applyNumberFormat="0" applyFill="0" applyBorder="0" applyAlignment="0" applyProtection="0"/>
    <xf numFmtId="44" fontId="11" fillId="0" borderId="0" applyFont="0" applyFill="0" applyBorder="0" applyAlignment="0" applyProtection="0"/>
    <xf numFmtId="0" fontId="12" fillId="0" borderId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</cellStyleXfs>
  <cellXfs count="3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16" fontId="3" fillId="0" borderId="3" xfId="0" applyNumberFormat="1" applyFont="1" applyBorder="1" applyAlignment="1">
      <alignment horizontal="center"/>
    </xf>
    <xf numFmtId="0" fontId="2" fillId="4" borderId="3" xfId="0" applyFont="1" applyFill="1" applyBorder="1"/>
    <xf numFmtId="0" fontId="2" fillId="0" borderId="4" xfId="0" applyFont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2" fillId="5" borderId="4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5" fillId="6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8" fillId="7" borderId="5" xfId="0" applyFont="1" applyFill="1" applyBorder="1" applyAlignment="1">
      <alignment horizontal="center"/>
    </xf>
    <xf numFmtId="0" fontId="8" fillId="7" borderId="7" xfId="0" applyFont="1" applyFill="1" applyBorder="1" applyAlignment="1">
      <alignment horizontal="center"/>
    </xf>
    <xf numFmtId="0" fontId="9" fillId="6" borderId="0" xfId="0" applyFont="1" applyFill="1" applyAlignment="1">
      <alignment horizontal="center"/>
    </xf>
    <xf numFmtId="0" fontId="1" fillId="0" borderId="0" xfId="0" applyFont="1"/>
    <xf numFmtId="164" fontId="3" fillId="4" borderId="0" xfId="0" applyNumberFormat="1" applyFont="1" applyFill="1"/>
    <xf numFmtId="14" fontId="0" fillId="0" borderId="0" xfId="0" applyNumberFormat="1"/>
    <xf numFmtId="22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" fillId="0" borderId="0" xfId="0" applyFont="1"/>
    <xf numFmtId="0" fontId="3" fillId="0" borderId="0" xfId="0" applyFont="1"/>
    <xf numFmtId="0" fontId="0" fillId="0" borderId="0" xfId="0" applyNumberFormat="1"/>
  </cellXfs>
  <cellStyles count="59">
    <cellStyle name="Hyperlink" xfId="18" xr:uid="{B2018405-1245-4847-A253-ACF8F5BE6E28}"/>
    <cellStyle name="Moneda 2" xfId="19" xr:uid="{CEBF53AA-8B6B-4E2D-9FCD-940A0C0397D1}"/>
    <cellStyle name="Moneda 2 2" xfId="21" xr:uid="{EBFDC036-FF0B-49ED-AC3A-709715F7B82A}"/>
    <cellStyle name="Moneda 2 2 2" xfId="37" xr:uid="{CC7FC404-D3BE-4275-A513-2A476E6F003A}"/>
    <cellStyle name="Moneda 2 2 3" xfId="40" xr:uid="{F05178DD-0970-4BBD-B557-6633C9B3DA72}"/>
    <cellStyle name="Moneda 2 2 4" xfId="43" xr:uid="{B1D1D8B7-FFC4-44C3-A297-D56D6135BA6B}"/>
    <cellStyle name="Moneda 2 2 5" xfId="46" xr:uid="{E0C5F919-636E-4F9D-8793-F35F305CE8A8}"/>
    <cellStyle name="Moneda 2 2 6" xfId="50" xr:uid="{060513CE-1E51-4AF2-BED2-3308E7A5528F}"/>
    <cellStyle name="Moneda 2 2 7" xfId="55" xr:uid="{94A23887-FE88-4793-9FDA-92C9211068DD}"/>
    <cellStyle name="Moneda 2 3" xfId="36" xr:uid="{1215ABD4-5220-487B-89B5-AA885EAB04A5}"/>
    <cellStyle name="Moneda 2 3 2" xfId="39" xr:uid="{3420C6FC-40C3-4347-8915-5E37D4F27C66}"/>
    <cellStyle name="Moneda 2 3 3" xfId="42" xr:uid="{7BE246B1-3564-4109-A03A-9C159034B353}"/>
    <cellStyle name="Moneda 2 3 4" xfId="45" xr:uid="{C537BDE2-9AB6-4E9B-9408-C3A95636E5DD}"/>
    <cellStyle name="Moneda 2 3 5" xfId="49" xr:uid="{A5551541-CFD7-4A26-9869-71C8BCD7753D}"/>
    <cellStyle name="Moneda 2 3 6" xfId="54" xr:uid="{D8E5DCCD-1ADF-400D-B378-83D66EE3168E}"/>
    <cellStyle name="Moneda 2 4" xfId="22" xr:uid="{C856720B-E8A6-4AC5-AB83-CF98E3EF83EE}"/>
    <cellStyle name="Moneda 2 5" xfId="38" xr:uid="{543CB192-C6A7-4F18-96D2-D078B55A61CB}"/>
    <cellStyle name="Moneda 2 6" xfId="41" xr:uid="{14D1D7A7-6BF3-4644-A820-240992FDB63E}"/>
    <cellStyle name="Moneda 2 7" xfId="44" xr:uid="{FFF1D48E-6176-4CF7-81EF-EE5AC9546ED6}"/>
    <cellStyle name="Moneda 2 8" xfId="48" xr:uid="{505EEDDC-CA34-4C8E-894B-E00A33C56132}"/>
    <cellStyle name="Moneda 2 9" xfId="53" xr:uid="{9DEFD098-5F68-4A9D-A770-6123E150DD6E}"/>
    <cellStyle name="Moneda 3" xfId="47" xr:uid="{85CAFDD7-BC80-42AB-AB19-AD3F8539702F}"/>
    <cellStyle name="Moneda 3 2" xfId="51" xr:uid="{96C4286F-DBE0-4288-BB74-90F8B138EA6D}"/>
    <cellStyle name="Moneda 3 3" xfId="56" xr:uid="{34925A72-50E9-4BB6-AB5E-29A42278EC06}"/>
    <cellStyle name="Moneda 4" xfId="52" xr:uid="{37C3E87F-62D1-4247-9FCD-BF46D4177B38}"/>
    <cellStyle name="Moneda 4 2" xfId="57" xr:uid="{0D33716A-1B52-49C5-B03E-298B115A6242}"/>
    <cellStyle name="Moneda 5" xfId="58" xr:uid="{3670C6D2-7DDC-4274-A607-0FB14349F8E2}"/>
    <cellStyle name="Normal" xfId="0" builtinId="0"/>
    <cellStyle name="Normal 10" xfId="10" xr:uid="{0B95864E-03D8-4F67-B990-2AF43328EB3C}"/>
    <cellStyle name="Normal 10 2" xfId="30" xr:uid="{7FA630B3-0C0F-4FC1-B9AD-58284DA35EB1}"/>
    <cellStyle name="Normal 11" xfId="11" xr:uid="{5C553AE0-2F04-4876-A976-7AEFF0AA1AD6}"/>
    <cellStyle name="Normal 11 2" xfId="31" xr:uid="{7AD53723-1DB9-43AB-A3D7-A8F616766BF8}"/>
    <cellStyle name="Normal 12" xfId="12" xr:uid="{3BC0023D-D8B2-4314-98BF-FC36C516CB3E}"/>
    <cellStyle name="Normal 12 2" xfId="32" xr:uid="{00BB453F-798A-463E-91CF-C66CE96317AF}"/>
    <cellStyle name="Normal 13" xfId="13" xr:uid="{F01053DF-92A3-4B60-925E-AAEF75C1AEC4}"/>
    <cellStyle name="Normal 13 2" xfId="33" xr:uid="{0F0CD918-8F29-452E-ACBD-477CE2F54F2A}"/>
    <cellStyle name="Normal 14" xfId="14" xr:uid="{E86B8017-7E62-40AB-857C-EC4EFE1E83F8}"/>
    <cellStyle name="Normal 14 2" xfId="34" xr:uid="{3BC66587-D5C3-49AF-8EE6-3E49040356A6}"/>
    <cellStyle name="Normal 15" xfId="15" xr:uid="{DAAA0BE8-7004-4376-A042-6A9A168A9A21}"/>
    <cellStyle name="Normal 15 2" xfId="20" xr:uid="{55332A69-B081-4BAD-8A20-77725DD92B5C}"/>
    <cellStyle name="Normal 15 3" xfId="35" xr:uid="{CCD54986-C90C-4098-A1A6-8D44F35D6691}"/>
    <cellStyle name="Normal 2" xfId="1" xr:uid="{0C12119C-D43E-49BD-BFF9-9B05911E5BF0}"/>
    <cellStyle name="Normal 2 2" xfId="2" xr:uid="{A7FB9C6F-E634-4B2E-86BE-BBD572D5AFB7}"/>
    <cellStyle name="Normal 2 3" xfId="16" xr:uid="{76702E4E-6488-468F-BE6C-98D1A76F4C63}"/>
    <cellStyle name="Normal 2 4" xfId="23" xr:uid="{10EFA4F0-8BF2-4F14-8AF8-C55FD1613754}"/>
    <cellStyle name="Normal 3" xfId="3" xr:uid="{15A357C1-11B2-4983-A25B-AE2A2DCC98A1}"/>
    <cellStyle name="Normal 3 2" xfId="24" xr:uid="{3D3B6F98-B1D7-4D0E-86C4-68FA147838F5}"/>
    <cellStyle name="Normal 4" xfId="4" xr:uid="{C986379F-2E15-4DCA-A049-C0758CFAE754}"/>
    <cellStyle name="Normal 5" xfId="5" xr:uid="{E886E852-CCBB-42D6-915E-09643F7E8A58}"/>
    <cellStyle name="Normal 5 2" xfId="25" xr:uid="{F01131C8-1AC0-4E8B-A51F-3C1FEEC5A0CC}"/>
    <cellStyle name="Normal 6" xfId="6" xr:uid="{290E68A9-AB31-44C1-B577-14B1FBBCDFC6}"/>
    <cellStyle name="Normal 6 2" xfId="26" xr:uid="{EF657C49-F2B4-4FF5-855D-D1C5C157DDE6}"/>
    <cellStyle name="Normal 7" xfId="7" xr:uid="{8BE4DFD1-7F7F-43D8-8569-810913E36E35}"/>
    <cellStyle name="Normal 7 2" xfId="27" xr:uid="{4107D020-7AF0-4739-AD29-D9BADE0CF308}"/>
    <cellStyle name="Normal 8" xfId="8" xr:uid="{9EE71C69-8378-4D31-B015-09926EA48E66}"/>
    <cellStyle name="Normal 8 2" xfId="28" xr:uid="{E1572630-C991-475A-B9DB-D7C6C95041D9}"/>
    <cellStyle name="Normal 9" xfId="9" xr:uid="{71DD3493-6787-4E9A-9884-29FA502B524E}"/>
    <cellStyle name="Normal 9 2" xfId="29" xr:uid="{C7D337D3-C3B7-4827-905C-EA6DC470000D}"/>
    <cellStyle name="Porcentaje 2" xfId="17" xr:uid="{B4DC4AB0-E63A-4080-AE1F-316E36CABFF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tiago Calvo Prieto" refreshedDate="45971.562244097222" createdVersion="8" refreshedVersion="8" minRefreshableVersion="3" recordCount="48" xr:uid="{93C581A5-61B5-40FF-AC76-618DD97B7B96}">
  <cacheSource type="worksheet">
    <worksheetSource ref="A2:C50" sheet="Estatus diario"/>
  </cacheSource>
  <cacheFields count="3">
    <cacheField name="SEM" numFmtId="0">
      <sharedItems containsBlank="1" count="6">
        <s v="S1"/>
        <m/>
        <s v="S2"/>
        <s v="S3"/>
        <s v="S4"/>
        <s v="S5"/>
      </sharedItems>
    </cacheField>
    <cacheField name="S1" numFmtId="0">
      <sharedItems containsBlank="1" count="13">
        <s v="A1"/>
        <s v="A2"/>
        <s v="B1"/>
        <s v="B2"/>
        <s v="C1"/>
        <s v="C2"/>
        <m/>
        <s v="TL"/>
        <s v="S2"/>
        <s v="S3"/>
        <s v="S4"/>
        <s v="S5"/>
        <s v="C3" u="1"/>
      </sharedItems>
    </cacheField>
    <cacheField name="HS" numFmtId="0">
      <sharedItems containsBlank="1" containsMixedTypes="1" containsNumber="1" containsInteger="1" minValue="0" maxValue="17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x v="0"/>
    <n v="288"/>
  </r>
  <r>
    <x v="0"/>
    <x v="1"/>
    <n v="292"/>
  </r>
  <r>
    <x v="0"/>
    <x v="2"/>
    <n v="311"/>
  </r>
  <r>
    <x v="0"/>
    <x v="3"/>
    <n v="226"/>
  </r>
  <r>
    <x v="0"/>
    <x v="4"/>
    <n v="337"/>
  </r>
  <r>
    <x v="0"/>
    <x v="5"/>
    <n v="286"/>
  </r>
  <r>
    <x v="0"/>
    <x v="6"/>
    <m/>
  </r>
  <r>
    <x v="0"/>
    <x v="7"/>
    <n v="1740"/>
  </r>
  <r>
    <x v="1"/>
    <x v="6"/>
    <m/>
  </r>
  <r>
    <x v="2"/>
    <x v="8"/>
    <s v="TL"/>
  </r>
  <r>
    <x v="2"/>
    <x v="0"/>
    <n v="0"/>
  </r>
  <r>
    <x v="2"/>
    <x v="1"/>
    <n v="0"/>
  </r>
  <r>
    <x v="2"/>
    <x v="2"/>
    <n v="0"/>
  </r>
  <r>
    <x v="2"/>
    <x v="3"/>
    <n v="0"/>
  </r>
  <r>
    <x v="2"/>
    <x v="4"/>
    <n v="0"/>
  </r>
  <r>
    <x v="2"/>
    <x v="5"/>
    <n v="0"/>
  </r>
  <r>
    <x v="2"/>
    <x v="6"/>
    <m/>
  </r>
  <r>
    <x v="2"/>
    <x v="7"/>
    <n v="0"/>
  </r>
  <r>
    <x v="1"/>
    <x v="6"/>
    <m/>
  </r>
  <r>
    <x v="3"/>
    <x v="9"/>
    <s v="TL"/>
  </r>
  <r>
    <x v="3"/>
    <x v="0"/>
    <n v="0"/>
  </r>
  <r>
    <x v="3"/>
    <x v="1"/>
    <n v="0"/>
  </r>
  <r>
    <x v="3"/>
    <x v="2"/>
    <n v="0"/>
  </r>
  <r>
    <x v="3"/>
    <x v="3"/>
    <n v="0"/>
  </r>
  <r>
    <x v="3"/>
    <x v="4"/>
    <n v="0"/>
  </r>
  <r>
    <x v="3"/>
    <x v="5"/>
    <n v="0"/>
  </r>
  <r>
    <x v="3"/>
    <x v="6"/>
    <m/>
  </r>
  <r>
    <x v="3"/>
    <x v="7"/>
    <n v="0"/>
  </r>
  <r>
    <x v="1"/>
    <x v="6"/>
    <m/>
  </r>
  <r>
    <x v="4"/>
    <x v="10"/>
    <s v="TL"/>
  </r>
  <r>
    <x v="4"/>
    <x v="0"/>
    <n v="0"/>
  </r>
  <r>
    <x v="4"/>
    <x v="1"/>
    <n v="0"/>
  </r>
  <r>
    <x v="4"/>
    <x v="2"/>
    <n v="0"/>
  </r>
  <r>
    <x v="4"/>
    <x v="3"/>
    <n v="0"/>
  </r>
  <r>
    <x v="4"/>
    <x v="4"/>
    <n v="0"/>
  </r>
  <r>
    <x v="4"/>
    <x v="5"/>
    <n v="0"/>
  </r>
  <r>
    <x v="4"/>
    <x v="6"/>
    <m/>
  </r>
  <r>
    <x v="4"/>
    <x v="7"/>
    <n v="0"/>
  </r>
  <r>
    <x v="1"/>
    <x v="6"/>
    <m/>
  </r>
  <r>
    <x v="5"/>
    <x v="11"/>
    <s v="TL"/>
  </r>
  <r>
    <x v="5"/>
    <x v="0"/>
    <n v="0"/>
  </r>
  <r>
    <x v="5"/>
    <x v="1"/>
    <n v="0"/>
  </r>
  <r>
    <x v="5"/>
    <x v="2"/>
    <n v="0"/>
  </r>
  <r>
    <x v="5"/>
    <x v="3"/>
    <n v="0"/>
  </r>
  <r>
    <x v="5"/>
    <x v="4"/>
    <n v="0"/>
  </r>
  <r>
    <x v="5"/>
    <x v="5"/>
    <n v="0"/>
  </r>
  <r>
    <x v="5"/>
    <x v="6"/>
    <m/>
  </r>
  <r>
    <x v="5"/>
    <x v="7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476416-5E19-428A-9C28-862565FD05AB}" name="TablaDinámica2" cacheId="344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O10:V17" firstHeaderRow="1" firstDataRow="2" firstDataCol="1"/>
  <pivotFields count="3">
    <pivotField axis="axisRow" showAll="0">
      <items count="7">
        <item x="0"/>
        <item x="2"/>
        <item x="3"/>
        <item x="4"/>
        <item x="5"/>
        <item x="1"/>
        <item t="default"/>
      </items>
    </pivotField>
    <pivotField axis="axisCol" showAll="0">
      <items count="14">
        <item x="0"/>
        <item x="1"/>
        <item x="2"/>
        <item x="3"/>
        <item x="4"/>
        <item x="5"/>
        <item m="1" x="12"/>
        <item h="1" x="8"/>
        <item h="1" x="9"/>
        <item h="1" x="10"/>
        <item h="1" x="11"/>
        <item h="1" x="7"/>
        <item h="1" x="6"/>
        <item t="default"/>
      </items>
    </pivotField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a de H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0F7AF-2A69-4C5E-9FF5-F9DB01805A13}">
  <dimension ref="A1:AF53"/>
  <sheetViews>
    <sheetView tabSelected="1" topLeftCell="C1" workbookViewId="0">
      <selection activeCell="K5" sqref="K5"/>
    </sheetView>
  </sheetViews>
  <sheetFormatPr baseColWidth="10" defaultRowHeight="15" x14ac:dyDescent="0.25"/>
  <cols>
    <col min="10" max="10" width="8" customWidth="1"/>
    <col min="11" max="11" width="7.85546875" customWidth="1"/>
    <col min="12" max="13" width="0" hidden="1" customWidth="1"/>
    <col min="14" max="14" width="5.5703125" customWidth="1"/>
    <col min="15" max="15" width="17.85546875" bestFit="1" customWidth="1"/>
    <col min="16" max="16" width="22.85546875" bestFit="1" customWidth="1"/>
    <col min="17" max="21" width="4" bestFit="1" customWidth="1"/>
    <col min="22" max="23" width="12.5703125" bestFit="1" customWidth="1"/>
    <col min="24" max="26" width="3.140625" bestFit="1" customWidth="1"/>
    <col min="27" max="27" width="3" bestFit="1" customWidth="1"/>
    <col min="28" max="28" width="11.140625" bestFit="1" customWidth="1"/>
    <col min="29" max="29" width="12.5703125" bestFit="1" customWidth="1"/>
  </cols>
  <sheetData>
    <row r="1" spans="1:22" x14ac:dyDescent="0.25">
      <c r="A1" s="25" t="s">
        <v>19</v>
      </c>
      <c r="B1" s="25" t="s">
        <v>20</v>
      </c>
      <c r="C1" s="2" t="s">
        <v>2</v>
      </c>
      <c r="D1" s="4"/>
      <c r="E1" s="4"/>
      <c r="F1" s="4"/>
      <c r="G1" s="4"/>
      <c r="H1" s="4"/>
      <c r="I1" s="3"/>
      <c r="J1" s="3"/>
    </row>
    <row r="2" spans="1:22" x14ac:dyDescent="0.25">
      <c r="A2" s="5" t="s">
        <v>0</v>
      </c>
      <c r="B2" s="6" t="s">
        <v>1</v>
      </c>
      <c r="C2" s="7" t="s">
        <v>2</v>
      </c>
      <c r="D2" s="8">
        <v>45965</v>
      </c>
      <c r="E2" s="8">
        <f>+D2+1</f>
        <v>45966</v>
      </c>
      <c r="F2" s="8">
        <f t="shared" ref="F2:G2" si="0">+E2+1</f>
        <v>45967</v>
      </c>
      <c r="G2" s="8">
        <f t="shared" si="0"/>
        <v>45968</v>
      </c>
      <c r="H2" s="8">
        <f>+G2+3</f>
        <v>45971</v>
      </c>
      <c r="I2" s="9" t="s">
        <v>3</v>
      </c>
      <c r="J2" s="1"/>
    </row>
    <row r="3" spans="1:22" x14ac:dyDescent="0.25">
      <c r="A3" s="5" t="s">
        <v>1</v>
      </c>
      <c r="B3" s="10" t="s">
        <v>4</v>
      </c>
      <c r="C3" s="11">
        <f>+SUM(D3:H3)</f>
        <v>288</v>
      </c>
      <c r="D3">
        <v>56</v>
      </c>
      <c r="E3">
        <v>56</v>
      </c>
      <c r="F3">
        <v>56</v>
      </c>
      <c r="G3">
        <v>62</v>
      </c>
      <c r="H3">
        <v>58</v>
      </c>
      <c r="I3" s="26">
        <f>IFERROR(C3/6/COUNT(D3:H3),0)</f>
        <v>9.6</v>
      </c>
      <c r="J3" s="3"/>
    </row>
    <row r="4" spans="1:22" x14ac:dyDescent="0.25">
      <c r="A4" s="13" t="s">
        <v>1</v>
      </c>
      <c r="B4" s="14" t="s">
        <v>5</v>
      </c>
      <c r="C4" s="11">
        <f t="shared" ref="C4:C8" si="1">+SUM(D4:H4)</f>
        <v>292</v>
      </c>
      <c r="D4">
        <v>63</v>
      </c>
      <c r="E4">
        <v>52</v>
      </c>
      <c r="F4">
        <v>59</v>
      </c>
      <c r="G4">
        <v>59</v>
      </c>
      <c r="H4">
        <v>59</v>
      </c>
      <c r="I4" s="26">
        <f t="shared" ref="I4:I10" si="2">IFERROR(C4/6/COUNT(D4:H4),0)</f>
        <v>9.7333333333333325</v>
      </c>
      <c r="J4" s="3"/>
      <c r="O4" s="31" t="s">
        <v>21</v>
      </c>
      <c r="P4" s="31"/>
    </row>
    <row r="5" spans="1:22" x14ac:dyDescent="0.25">
      <c r="A5" s="13" t="s">
        <v>1</v>
      </c>
      <c r="B5" s="10" t="s">
        <v>6</v>
      </c>
      <c r="C5" s="11">
        <f t="shared" si="1"/>
        <v>311</v>
      </c>
      <c r="D5">
        <v>63</v>
      </c>
      <c r="E5">
        <v>63</v>
      </c>
      <c r="F5">
        <v>63</v>
      </c>
      <c r="G5">
        <v>57</v>
      </c>
      <c r="H5">
        <v>65</v>
      </c>
      <c r="I5" s="26">
        <f t="shared" si="2"/>
        <v>10.366666666666667</v>
      </c>
      <c r="J5" s="3"/>
    </row>
    <row r="6" spans="1:22" x14ac:dyDescent="0.25">
      <c r="A6" s="13" t="s">
        <v>1</v>
      </c>
      <c r="B6" s="14" t="s">
        <v>7</v>
      </c>
      <c r="C6" s="11">
        <f t="shared" si="1"/>
        <v>226</v>
      </c>
      <c r="D6">
        <v>46</v>
      </c>
      <c r="E6">
        <v>42</v>
      </c>
      <c r="F6">
        <v>36</v>
      </c>
      <c r="G6">
        <v>48</v>
      </c>
      <c r="H6">
        <v>54</v>
      </c>
      <c r="I6" s="26">
        <f t="shared" si="2"/>
        <v>7.5333333333333332</v>
      </c>
      <c r="J6" s="3"/>
    </row>
    <row r="7" spans="1:22" x14ac:dyDescent="0.25">
      <c r="A7" s="13" t="s">
        <v>1</v>
      </c>
      <c r="B7" s="10" t="s">
        <v>8</v>
      </c>
      <c r="C7" s="11">
        <f t="shared" si="1"/>
        <v>337</v>
      </c>
      <c r="D7">
        <v>73</v>
      </c>
      <c r="E7">
        <v>72</v>
      </c>
      <c r="F7">
        <v>72</v>
      </c>
      <c r="G7">
        <v>48</v>
      </c>
      <c r="H7">
        <v>72</v>
      </c>
      <c r="I7" s="26">
        <f t="shared" si="2"/>
        <v>11.233333333333333</v>
      </c>
      <c r="J7" s="3"/>
    </row>
    <row r="8" spans="1:22" x14ac:dyDescent="0.25">
      <c r="A8" s="13" t="s">
        <v>1</v>
      </c>
      <c r="B8" s="10" t="s">
        <v>9</v>
      </c>
      <c r="C8" s="11">
        <f t="shared" si="1"/>
        <v>286</v>
      </c>
      <c r="D8">
        <v>62</v>
      </c>
      <c r="E8">
        <v>62</v>
      </c>
      <c r="F8">
        <v>56</v>
      </c>
      <c r="G8">
        <v>44</v>
      </c>
      <c r="H8">
        <v>62</v>
      </c>
      <c r="I8" s="26">
        <f t="shared" si="2"/>
        <v>9.5333333333333332</v>
      </c>
      <c r="J8" s="3"/>
    </row>
    <row r="9" spans="1:22" hidden="1" x14ac:dyDescent="0.25">
      <c r="A9" s="13" t="s">
        <v>1</v>
      </c>
      <c r="B9" s="15"/>
      <c r="C9" s="11"/>
      <c r="I9" s="26"/>
      <c r="J9" s="3"/>
    </row>
    <row r="10" spans="1:22" x14ac:dyDescent="0.25">
      <c r="A10" s="13" t="s">
        <v>1</v>
      </c>
      <c r="B10" s="17" t="s">
        <v>10</v>
      </c>
      <c r="C10" s="18">
        <f>SUM(C3:C9)</f>
        <v>1740</v>
      </c>
      <c r="D10" s="19">
        <f>SUM(D3:D9)</f>
        <v>363</v>
      </c>
      <c r="E10" s="19">
        <f t="shared" ref="E10:H10" si="3">SUM(E3:E9)</f>
        <v>347</v>
      </c>
      <c r="F10" s="19">
        <f t="shared" si="3"/>
        <v>342</v>
      </c>
      <c r="G10" s="19">
        <f t="shared" si="3"/>
        <v>318</v>
      </c>
      <c r="H10" s="19">
        <f t="shared" si="3"/>
        <v>370</v>
      </c>
      <c r="I10" s="26">
        <f t="shared" si="2"/>
        <v>58</v>
      </c>
      <c r="J10" s="20"/>
      <c r="O10" s="29" t="s">
        <v>18</v>
      </c>
      <c r="P10" s="29" t="s">
        <v>17</v>
      </c>
    </row>
    <row r="11" spans="1:22" x14ac:dyDescent="0.25">
      <c r="A11" s="5"/>
      <c r="B11" s="3"/>
      <c r="C11" s="2"/>
      <c r="D11" s="21"/>
      <c r="E11" s="21"/>
      <c r="F11" s="21"/>
      <c r="G11" s="21"/>
      <c r="H11" s="21"/>
      <c r="I11" s="3"/>
      <c r="J11" s="3"/>
      <c r="O11" s="29" t="s">
        <v>15</v>
      </c>
      <c r="P11" t="s">
        <v>4</v>
      </c>
      <c r="Q11" t="s">
        <v>5</v>
      </c>
      <c r="R11" t="s">
        <v>6</v>
      </c>
      <c r="S11" t="s">
        <v>7</v>
      </c>
      <c r="T11" t="s">
        <v>8</v>
      </c>
      <c r="U11" t="s">
        <v>9</v>
      </c>
      <c r="V11" t="s">
        <v>16</v>
      </c>
    </row>
    <row r="12" spans="1:22" x14ac:dyDescent="0.25">
      <c r="A12" s="5" t="s">
        <v>11</v>
      </c>
      <c r="B12" s="6" t="s">
        <v>11</v>
      </c>
      <c r="C12" s="7" t="s">
        <v>10</v>
      </c>
      <c r="D12" s="8">
        <f>+H2+1</f>
        <v>45972</v>
      </c>
      <c r="E12" s="8">
        <f>+D12+1</f>
        <v>45973</v>
      </c>
      <c r="F12" s="8">
        <f t="shared" ref="F12:G12" si="4">+E12+1</f>
        <v>45974</v>
      </c>
      <c r="G12" s="8">
        <f t="shared" si="4"/>
        <v>45975</v>
      </c>
      <c r="H12" s="8">
        <f>+G12+3</f>
        <v>45978</v>
      </c>
      <c r="I12" s="9" t="s">
        <v>3</v>
      </c>
      <c r="J12" s="1"/>
      <c r="O12" s="30" t="s">
        <v>1</v>
      </c>
      <c r="P12" s="34">
        <v>288</v>
      </c>
      <c r="Q12" s="34">
        <v>292</v>
      </c>
      <c r="R12" s="34">
        <v>311</v>
      </c>
      <c r="S12" s="34">
        <v>226</v>
      </c>
      <c r="T12" s="34">
        <v>337</v>
      </c>
      <c r="U12" s="34">
        <v>286</v>
      </c>
      <c r="V12" s="34">
        <v>1740</v>
      </c>
    </row>
    <row r="13" spans="1:22" x14ac:dyDescent="0.25">
      <c r="A13" s="13" t="s">
        <v>11</v>
      </c>
      <c r="B13" s="10" t="s">
        <v>4</v>
      </c>
      <c r="C13" s="11">
        <f>+SUM(D13:H13)</f>
        <v>0</v>
      </c>
      <c r="I13" s="26">
        <f>IFERROR(C13/6/COUNT(D13:H13),0)</f>
        <v>0</v>
      </c>
      <c r="J13" s="3"/>
      <c r="O13" s="30" t="s">
        <v>11</v>
      </c>
      <c r="P13" s="34">
        <v>0</v>
      </c>
      <c r="Q13" s="34">
        <v>0</v>
      </c>
      <c r="R13" s="34">
        <v>0</v>
      </c>
      <c r="S13" s="34">
        <v>0</v>
      </c>
      <c r="T13" s="34">
        <v>0</v>
      </c>
      <c r="U13" s="34">
        <v>0</v>
      </c>
      <c r="V13" s="34">
        <v>0</v>
      </c>
    </row>
    <row r="14" spans="1:22" x14ac:dyDescent="0.25">
      <c r="A14" s="13" t="s">
        <v>11</v>
      </c>
      <c r="B14" s="14" t="s">
        <v>5</v>
      </c>
      <c r="C14" s="11">
        <f t="shared" ref="C14:C18" si="5">+SUM(D14:H14)</f>
        <v>0</v>
      </c>
      <c r="I14" s="26">
        <f t="shared" ref="I14:I20" si="6">IFERROR(C14/6/COUNT(D14:H14),0)</f>
        <v>0</v>
      </c>
      <c r="J14" s="3"/>
      <c r="O14" s="30" t="s">
        <v>12</v>
      </c>
      <c r="P14" s="34">
        <v>0</v>
      </c>
      <c r="Q14" s="34">
        <v>0</v>
      </c>
      <c r="R14" s="34">
        <v>0</v>
      </c>
      <c r="S14" s="34">
        <v>0</v>
      </c>
      <c r="T14" s="34">
        <v>0</v>
      </c>
      <c r="U14" s="34">
        <v>0</v>
      </c>
      <c r="V14" s="34">
        <v>0</v>
      </c>
    </row>
    <row r="15" spans="1:22" x14ac:dyDescent="0.25">
      <c r="A15" s="13" t="s">
        <v>11</v>
      </c>
      <c r="B15" s="10" t="s">
        <v>6</v>
      </c>
      <c r="C15" s="11">
        <f t="shared" si="5"/>
        <v>0</v>
      </c>
      <c r="I15" s="26">
        <f t="shared" si="6"/>
        <v>0</v>
      </c>
      <c r="J15" s="3"/>
      <c r="O15" s="30" t="s">
        <v>13</v>
      </c>
      <c r="P15" s="34">
        <v>0</v>
      </c>
      <c r="Q15" s="34">
        <v>0</v>
      </c>
      <c r="R15" s="34">
        <v>0</v>
      </c>
      <c r="S15" s="34">
        <v>0</v>
      </c>
      <c r="T15" s="34">
        <v>0</v>
      </c>
      <c r="U15" s="34">
        <v>0</v>
      </c>
      <c r="V15" s="34">
        <v>0</v>
      </c>
    </row>
    <row r="16" spans="1:22" x14ac:dyDescent="0.25">
      <c r="A16" s="13" t="s">
        <v>11</v>
      </c>
      <c r="B16" s="14" t="s">
        <v>7</v>
      </c>
      <c r="C16" s="11">
        <f t="shared" si="5"/>
        <v>0</v>
      </c>
      <c r="I16" s="26">
        <f t="shared" si="6"/>
        <v>0</v>
      </c>
      <c r="J16" s="3"/>
      <c r="O16" s="30" t="s">
        <v>14</v>
      </c>
      <c r="P16" s="34">
        <v>0</v>
      </c>
      <c r="Q16" s="34">
        <v>0</v>
      </c>
      <c r="R16" s="34">
        <v>0</v>
      </c>
      <c r="S16" s="34">
        <v>0</v>
      </c>
      <c r="T16" s="34">
        <v>0</v>
      </c>
      <c r="U16" s="34">
        <v>0</v>
      </c>
      <c r="V16" s="34">
        <v>0</v>
      </c>
    </row>
    <row r="17" spans="1:32" x14ac:dyDescent="0.25">
      <c r="A17" s="13" t="s">
        <v>11</v>
      </c>
      <c r="B17" s="10" t="s">
        <v>8</v>
      </c>
      <c r="C17" s="11">
        <f t="shared" si="5"/>
        <v>0</v>
      </c>
      <c r="I17" s="26">
        <f t="shared" si="6"/>
        <v>0</v>
      </c>
      <c r="J17" s="3"/>
      <c r="O17" s="30" t="s">
        <v>16</v>
      </c>
      <c r="P17" s="34">
        <v>288</v>
      </c>
      <c r="Q17" s="34">
        <v>292</v>
      </c>
      <c r="R17" s="34">
        <v>311</v>
      </c>
      <c r="S17" s="34">
        <v>226</v>
      </c>
      <c r="T17" s="34">
        <v>337</v>
      </c>
      <c r="U17" s="34">
        <v>286</v>
      </c>
      <c r="V17" s="34">
        <v>1740</v>
      </c>
    </row>
    <row r="18" spans="1:32" x14ac:dyDescent="0.25">
      <c r="A18" s="13" t="s">
        <v>11</v>
      </c>
      <c r="B18" s="10" t="s">
        <v>9</v>
      </c>
      <c r="C18" s="11">
        <f t="shared" si="5"/>
        <v>0</v>
      </c>
      <c r="I18" s="26">
        <f t="shared" si="6"/>
        <v>0</v>
      </c>
      <c r="J18" s="3"/>
    </row>
    <row r="19" spans="1:32" hidden="1" x14ac:dyDescent="0.25">
      <c r="A19" s="13" t="s">
        <v>11</v>
      </c>
      <c r="B19" s="15"/>
      <c r="C19" s="11"/>
      <c r="I19" s="26"/>
      <c r="J19" s="3"/>
    </row>
    <row r="20" spans="1:32" x14ac:dyDescent="0.25">
      <c r="A20" s="13" t="s">
        <v>11</v>
      </c>
      <c r="B20" s="17" t="s">
        <v>10</v>
      </c>
      <c r="C20" s="18">
        <f>SUM(C13:C19)</f>
        <v>0</v>
      </c>
      <c r="D20" s="19">
        <f>SUM(D13:D19)</f>
        <v>0</v>
      </c>
      <c r="E20" s="19">
        <f t="shared" ref="E20:H20" si="7">SUM(E13:E19)</f>
        <v>0</v>
      </c>
      <c r="F20" s="19">
        <f t="shared" si="7"/>
        <v>0</v>
      </c>
      <c r="G20" s="19">
        <f t="shared" si="7"/>
        <v>0</v>
      </c>
      <c r="H20" s="19">
        <f t="shared" si="7"/>
        <v>0</v>
      </c>
      <c r="I20" s="26">
        <f t="shared" si="6"/>
        <v>0</v>
      </c>
      <c r="J20" s="20"/>
    </row>
    <row r="21" spans="1:32" x14ac:dyDescent="0.25">
      <c r="A21" s="32"/>
      <c r="B21" s="32"/>
      <c r="C21" s="2"/>
      <c r="D21" s="21"/>
      <c r="E21" s="21"/>
      <c r="F21" s="21"/>
      <c r="G21" s="21"/>
      <c r="H21" s="21"/>
      <c r="I21" s="3"/>
      <c r="J21" s="3"/>
      <c r="O21" s="31" t="s">
        <v>22</v>
      </c>
      <c r="P21" s="31"/>
    </row>
    <row r="22" spans="1:32" x14ac:dyDescent="0.25">
      <c r="A22" s="5" t="s">
        <v>12</v>
      </c>
      <c r="B22" s="6" t="s">
        <v>12</v>
      </c>
      <c r="C22" s="7" t="s">
        <v>10</v>
      </c>
      <c r="D22" s="8">
        <f>+H12+1</f>
        <v>45979</v>
      </c>
      <c r="E22" s="8">
        <f>+D22+1</f>
        <v>45980</v>
      </c>
      <c r="F22" s="8">
        <f t="shared" ref="F22:G22" si="8">+E22+1</f>
        <v>45981</v>
      </c>
      <c r="G22" s="8">
        <f t="shared" si="8"/>
        <v>45982</v>
      </c>
      <c r="H22" s="8">
        <f>+G22+3</f>
        <v>45985</v>
      </c>
      <c r="I22" s="9" t="s">
        <v>3</v>
      </c>
      <c r="J22" s="1"/>
      <c r="O22" s="28">
        <v>45968.718055555553</v>
      </c>
    </row>
    <row r="23" spans="1:32" x14ac:dyDescent="0.25">
      <c r="A23" s="13" t="s">
        <v>12</v>
      </c>
      <c r="B23" s="10" t="s">
        <v>4</v>
      </c>
      <c r="C23" s="11">
        <f>+SUM(D23:H23)</f>
        <v>0</v>
      </c>
      <c r="I23" s="26">
        <f>IFERROR(C23/6/COUNT(D23:H23),0)</f>
        <v>0</v>
      </c>
      <c r="J23" s="3"/>
    </row>
    <row r="24" spans="1:32" x14ac:dyDescent="0.25">
      <c r="A24" s="13" t="s">
        <v>12</v>
      </c>
      <c r="B24" s="14" t="s">
        <v>5</v>
      </c>
      <c r="C24" s="11">
        <f t="shared" ref="C24:C28" si="9">+SUM(D24:H24)</f>
        <v>0</v>
      </c>
      <c r="I24" s="26">
        <f t="shared" ref="I24:I30" si="10">IFERROR(C24/6/COUNT(D24:H24),0)</f>
        <v>0</v>
      </c>
      <c r="J24" s="3"/>
    </row>
    <row r="25" spans="1:32" x14ac:dyDescent="0.25">
      <c r="A25" s="13" t="s">
        <v>12</v>
      </c>
      <c r="B25" s="10" t="s">
        <v>6</v>
      </c>
      <c r="C25" s="11">
        <f t="shared" si="9"/>
        <v>0</v>
      </c>
      <c r="I25" s="26">
        <f t="shared" si="10"/>
        <v>0</v>
      </c>
      <c r="J25" s="3"/>
    </row>
    <row r="26" spans="1:32" x14ac:dyDescent="0.25">
      <c r="A26" s="13" t="s">
        <v>12</v>
      </c>
      <c r="B26" s="14" t="s">
        <v>7</v>
      </c>
      <c r="C26" s="11">
        <f t="shared" si="9"/>
        <v>0</v>
      </c>
      <c r="I26" s="26">
        <f t="shared" si="10"/>
        <v>0</v>
      </c>
      <c r="J26" s="3"/>
    </row>
    <row r="27" spans="1:32" x14ac:dyDescent="0.25">
      <c r="A27" s="13" t="s">
        <v>12</v>
      </c>
      <c r="B27" s="10" t="s">
        <v>8</v>
      </c>
      <c r="C27" s="11">
        <f t="shared" si="9"/>
        <v>0</v>
      </c>
      <c r="I27" s="26">
        <f t="shared" si="10"/>
        <v>0</v>
      </c>
      <c r="J27" s="3"/>
    </row>
    <row r="28" spans="1:32" x14ac:dyDescent="0.25">
      <c r="A28" s="13" t="s">
        <v>12</v>
      </c>
      <c r="B28" s="10" t="s">
        <v>9</v>
      </c>
      <c r="C28" s="11">
        <f t="shared" si="9"/>
        <v>0</v>
      </c>
      <c r="I28" s="26">
        <f t="shared" si="10"/>
        <v>0</v>
      </c>
      <c r="J28" s="3"/>
    </row>
    <row r="29" spans="1:32" hidden="1" x14ac:dyDescent="0.25">
      <c r="A29" s="13" t="s">
        <v>12</v>
      </c>
      <c r="B29" s="15"/>
      <c r="C29" s="11"/>
      <c r="I29" s="26"/>
      <c r="J29" s="3"/>
    </row>
    <row r="30" spans="1:32" x14ac:dyDescent="0.25">
      <c r="A30" s="13" t="s">
        <v>12</v>
      </c>
      <c r="B30" s="17" t="s">
        <v>10</v>
      </c>
      <c r="C30" s="18">
        <f t="shared" ref="C30:H30" si="11">SUM(C23:C29)</f>
        <v>0</v>
      </c>
      <c r="D30" s="19">
        <f t="shared" si="11"/>
        <v>0</v>
      </c>
      <c r="E30" s="19">
        <f t="shared" si="11"/>
        <v>0</v>
      </c>
      <c r="F30" s="19">
        <f t="shared" si="11"/>
        <v>0</v>
      </c>
      <c r="G30" s="19">
        <f t="shared" si="11"/>
        <v>0</v>
      </c>
      <c r="H30" s="19">
        <f t="shared" si="11"/>
        <v>0</v>
      </c>
      <c r="I30" s="26">
        <f t="shared" si="10"/>
        <v>0</v>
      </c>
      <c r="J30" s="20"/>
    </row>
    <row r="31" spans="1:32" x14ac:dyDescent="0.25">
      <c r="A31" s="33"/>
      <c r="B31" s="33"/>
      <c r="C31" s="3"/>
      <c r="D31" s="3"/>
      <c r="E31" s="3"/>
      <c r="F31" s="3"/>
      <c r="G31" s="3"/>
      <c r="H31" s="3"/>
      <c r="I31" s="3"/>
      <c r="J31" s="3"/>
      <c r="AF31" s="27"/>
    </row>
    <row r="32" spans="1:32" x14ac:dyDescent="0.25">
      <c r="A32" s="5" t="s">
        <v>13</v>
      </c>
      <c r="B32" s="6" t="s">
        <v>13</v>
      </c>
      <c r="C32" s="7" t="s">
        <v>10</v>
      </c>
      <c r="D32" s="8">
        <f>+H22+1</f>
        <v>45986</v>
      </c>
      <c r="E32" s="8">
        <f>+D32+1</f>
        <v>45987</v>
      </c>
      <c r="F32" s="8">
        <f t="shared" ref="F32:G32" si="12">+E32+1</f>
        <v>45988</v>
      </c>
      <c r="G32" s="8">
        <f t="shared" si="12"/>
        <v>45989</v>
      </c>
      <c r="H32" s="8">
        <f>+G32+3</f>
        <v>45992</v>
      </c>
      <c r="I32" s="9" t="s">
        <v>3</v>
      </c>
      <c r="J32" s="1"/>
      <c r="AF32" s="27"/>
    </row>
    <row r="33" spans="1:32" x14ac:dyDescent="0.25">
      <c r="A33" s="13" t="s">
        <v>13</v>
      </c>
      <c r="B33" s="10" t="s">
        <v>4</v>
      </c>
      <c r="C33" s="11">
        <f>+SUM(D33:H33)</f>
        <v>0</v>
      </c>
      <c r="D33" s="12"/>
      <c r="E33" s="12"/>
      <c r="F33" s="12"/>
      <c r="G33" s="12"/>
      <c r="H33" s="12"/>
      <c r="I33" s="26">
        <f>IFERROR(C33/6/COUNT(D33:H33),0)</f>
        <v>0</v>
      </c>
      <c r="J33" s="3"/>
      <c r="AF33" s="27"/>
    </row>
    <row r="34" spans="1:32" x14ac:dyDescent="0.25">
      <c r="A34" s="13" t="s">
        <v>13</v>
      </c>
      <c r="B34" s="14" t="s">
        <v>5</v>
      </c>
      <c r="C34" s="11">
        <f t="shared" ref="C34:C38" si="13">+SUM(D34:H34)</f>
        <v>0</v>
      </c>
      <c r="D34" s="12"/>
      <c r="E34" s="12"/>
      <c r="F34" s="12"/>
      <c r="G34" s="12"/>
      <c r="H34" s="12"/>
      <c r="I34" s="26">
        <f t="shared" ref="I34:I40" si="14">IFERROR(C34/6/COUNT(D34:H34),0)</f>
        <v>0</v>
      </c>
      <c r="J34" s="3"/>
      <c r="AF34" s="27"/>
    </row>
    <row r="35" spans="1:32" x14ac:dyDescent="0.25">
      <c r="A35" s="13" t="s">
        <v>13</v>
      </c>
      <c r="B35" s="10" t="s">
        <v>6</v>
      </c>
      <c r="C35" s="11">
        <f t="shared" si="13"/>
        <v>0</v>
      </c>
      <c r="D35" s="12"/>
      <c r="E35" s="12"/>
      <c r="F35" s="12"/>
      <c r="G35" s="12"/>
      <c r="H35" s="12"/>
      <c r="I35" s="26">
        <f t="shared" si="14"/>
        <v>0</v>
      </c>
      <c r="J35" s="3"/>
      <c r="AF35" s="27"/>
    </row>
    <row r="36" spans="1:32" x14ac:dyDescent="0.25">
      <c r="A36" s="13" t="s">
        <v>13</v>
      </c>
      <c r="B36" s="14" t="s">
        <v>7</v>
      </c>
      <c r="C36" s="11">
        <f t="shared" si="13"/>
        <v>0</v>
      </c>
      <c r="D36" s="12"/>
      <c r="E36" s="12"/>
      <c r="F36" s="12"/>
      <c r="G36" s="12"/>
      <c r="H36" s="12"/>
      <c r="I36" s="26">
        <f t="shared" si="14"/>
        <v>0</v>
      </c>
      <c r="J36" s="3"/>
      <c r="AF36" s="27"/>
    </row>
    <row r="37" spans="1:32" x14ac:dyDescent="0.25">
      <c r="A37" s="13" t="s">
        <v>13</v>
      </c>
      <c r="B37" s="10" t="s">
        <v>8</v>
      </c>
      <c r="C37" s="11">
        <f t="shared" si="13"/>
        <v>0</v>
      </c>
      <c r="D37" s="12"/>
      <c r="E37" s="12"/>
      <c r="F37" s="12"/>
      <c r="G37" s="12"/>
      <c r="H37" s="12"/>
      <c r="I37" s="26">
        <f t="shared" si="14"/>
        <v>0</v>
      </c>
      <c r="J37" s="3"/>
      <c r="AF37" s="27"/>
    </row>
    <row r="38" spans="1:32" x14ac:dyDescent="0.25">
      <c r="A38" s="13" t="s">
        <v>13</v>
      </c>
      <c r="B38" s="10" t="s">
        <v>9</v>
      </c>
      <c r="C38" s="11">
        <f t="shared" si="13"/>
        <v>0</v>
      </c>
      <c r="D38" s="12"/>
      <c r="E38" s="12"/>
      <c r="F38" s="12"/>
      <c r="G38" s="12"/>
      <c r="H38" s="12"/>
      <c r="I38" s="26">
        <f t="shared" si="14"/>
        <v>0</v>
      </c>
      <c r="J38" s="3"/>
      <c r="AF38" s="27"/>
    </row>
    <row r="39" spans="1:32" hidden="1" x14ac:dyDescent="0.25">
      <c r="A39" s="13" t="s">
        <v>13</v>
      </c>
      <c r="B39" s="15"/>
      <c r="C39" s="11"/>
      <c r="D39" s="16"/>
      <c r="E39" s="16"/>
      <c r="F39" s="16"/>
      <c r="G39" s="16"/>
      <c r="H39" s="16"/>
      <c r="I39" s="26"/>
      <c r="J39" s="3"/>
      <c r="AF39" s="27"/>
    </row>
    <row r="40" spans="1:32" x14ac:dyDescent="0.25">
      <c r="A40" s="13" t="s">
        <v>13</v>
      </c>
      <c r="B40" s="17" t="s">
        <v>10</v>
      </c>
      <c r="C40" s="18">
        <f t="shared" ref="C40:H40" si="15">SUM(C33:C39)</f>
        <v>0</v>
      </c>
      <c r="D40" s="19">
        <f t="shared" si="15"/>
        <v>0</v>
      </c>
      <c r="E40" s="19">
        <f t="shared" si="15"/>
        <v>0</v>
      </c>
      <c r="F40" s="19">
        <f t="shared" si="15"/>
        <v>0</v>
      </c>
      <c r="G40" s="19">
        <f t="shared" si="15"/>
        <v>0</v>
      </c>
      <c r="H40" s="19">
        <f t="shared" si="15"/>
        <v>0</v>
      </c>
      <c r="I40" s="26">
        <f t="shared" si="14"/>
        <v>0</v>
      </c>
      <c r="J40" s="20"/>
      <c r="AF40" s="27"/>
    </row>
    <row r="41" spans="1:32" x14ac:dyDescent="0.25">
      <c r="A41" s="33"/>
      <c r="B41" s="33"/>
      <c r="C41" s="3"/>
      <c r="D41" s="3"/>
      <c r="E41" s="3"/>
      <c r="F41" s="3"/>
      <c r="G41" s="3"/>
      <c r="H41" s="3"/>
      <c r="I41" s="3"/>
      <c r="J41" s="3"/>
      <c r="AF41" s="27"/>
    </row>
    <row r="42" spans="1:32" x14ac:dyDescent="0.25">
      <c r="A42" s="5" t="s">
        <v>14</v>
      </c>
      <c r="B42" s="6" t="s">
        <v>14</v>
      </c>
      <c r="C42" s="7" t="s">
        <v>10</v>
      </c>
      <c r="D42" s="8">
        <f>+H32+1</f>
        <v>45993</v>
      </c>
      <c r="E42" s="8">
        <f>+D42+1</f>
        <v>45994</v>
      </c>
      <c r="F42" s="8">
        <f t="shared" ref="F42:G42" si="16">+E42+1</f>
        <v>45995</v>
      </c>
      <c r="G42" s="8">
        <f t="shared" si="16"/>
        <v>45996</v>
      </c>
      <c r="H42" s="8">
        <f>+G42+3</f>
        <v>45999</v>
      </c>
      <c r="I42" s="9" t="s">
        <v>3</v>
      </c>
      <c r="J42" s="1"/>
      <c r="AF42" s="27"/>
    </row>
    <row r="43" spans="1:32" x14ac:dyDescent="0.25">
      <c r="A43" s="13" t="s">
        <v>14</v>
      </c>
      <c r="B43" s="10" t="s">
        <v>4</v>
      </c>
      <c r="C43" s="11">
        <f>+SUM(D43:H43)</f>
        <v>0</v>
      </c>
      <c r="D43" s="12"/>
      <c r="E43" s="12"/>
      <c r="F43" s="12"/>
      <c r="G43" s="12"/>
      <c r="H43" s="12"/>
      <c r="I43" s="26">
        <f>IFERROR(C43/6/COUNT(D43:H43),0)</f>
        <v>0</v>
      </c>
      <c r="J43" s="3"/>
      <c r="AF43" s="27"/>
    </row>
    <row r="44" spans="1:32" x14ac:dyDescent="0.25">
      <c r="A44" s="13" t="s">
        <v>14</v>
      </c>
      <c r="B44" s="14" t="s">
        <v>5</v>
      </c>
      <c r="C44" s="11">
        <f t="shared" ref="C44:C48" si="17">+SUM(D44:H44)</f>
        <v>0</v>
      </c>
      <c r="D44" s="12"/>
      <c r="E44" s="12"/>
      <c r="F44" s="12"/>
      <c r="G44" s="12"/>
      <c r="H44" s="12"/>
      <c r="I44" s="26">
        <f t="shared" ref="I44:I50" si="18">IFERROR(C44/6/COUNT(D44:H44),0)</f>
        <v>0</v>
      </c>
      <c r="J44" s="3"/>
      <c r="AF44" s="27"/>
    </row>
    <row r="45" spans="1:32" x14ac:dyDescent="0.25">
      <c r="A45" s="13" t="s">
        <v>14</v>
      </c>
      <c r="B45" s="10" t="s">
        <v>6</v>
      </c>
      <c r="C45" s="11">
        <f t="shared" si="17"/>
        <v>0</v>
      </c>
      <c r="D45" s="12"/>
      <c r="E45" s="12"/>
      <c r="F45" s="12"/>
      <c r="G45" s="12"/>
      <c r="H45" s="12"/>
      <c r="I45" s="26">
        <f t="shared" si="18"/>
        <v>0</v>
      </c>
      <c r="J45" s="3"/>
      <c r="AF45" s="27"/>
    </row>
    <row r="46" spans="1:32" x14ac:dyDescent="0.25">
      <c r="A46" s="13" t="s">
        <v>14</v>
      </c>
      <c r="B46" s="14" t="s">
        <v>7</v>
      </c>
      <c r="C46" s="11">
        <f t="shared" si="17"/>
        <v>0</v>
      </c>
      <c r="D46" s="12"/>
      <c r="E46" s="12"/>
      <c r="F46" s="12"/>
      <c r="G46" s="12"/>
      <c r="H46" s="12"/>
      <c r="I46" s="26">
        <f t="shared" si="18"/>
        <v>0</v>
      </c>
      <c r="J46" s="3"/>
      <c r="AF46" s="27"/>
    </row>
    <row r="47" spans="1:32" x14ac:dyDescent="0.25">
      <c r="A47" s="13" t="s">
        <v>14</v>
      </c>
      <c r="B47" s="10" t="s">
        <v>8</v>
      </c>
      <c r="C47" s="11">
        <f t="shared" si="17"/>
        <v>0</v>
      </c>
      <c r="D47" s="12"/>
      <c r="E47" s="12"/>
      <c r="F47" s="12"/>
      <c r="G47" s="12"/>
      <c r="H47" s="12"/>
      <c r="I47" s="26">
        <f t="shared" si="18"/>
        <v>0</v>
      </c>
      <c r="J47" s="3"/>
      <c r="AF47" s="27"/>
    </row>
    <row r="48" spans="1:32" x14ac:dyDescent="0.25">
      <c r="A48" s="13" t="s">
        <v>14</v>
      </c>
      <c r="B48" s="10" t="s">
        <v>9</v>
      </c>
      <c r="C48" s="11">
        <f t="shared" si="17"/>
        <v>0</v>
      </c>
      <c r="D48" s="12"/>
      <c r="E48" s="12"/>
      <c r="F48" s="12"/>
      <c r="G48" s="12"/>
      <c r="H48" s="12"/>
      <c r="I48" s="26">
        <f t="shared" si="18"/>
        <v>0</v>
      </c>
      <c r="J48" s="3"/>
      <c r="AF48" s="27"/>
    </row>
    <row r="49" spans="1:32" hidden="1" x14ac:dyDescent="0.25">
      <c r="A49" s="13" t="s">
        <v>14</v>
      </c>
      <c r="B49" s="15"/>
      <c r="C49" s="11"/>
      <c r="D49" s="16"/>
      <c r="E49" s="16"/>
      <c r="F49" s="16"/>
      <c r="G49" s="16"/>
      <c r="H49" s="16"/>
      <c r="I49" s="26"/>
      <c r="J49" s="3"/>
      <c r="AF49" s="27"/>
    </row>
    <row r="50" spans="1:32" x14ac:dyDescent="0.25">
      <c r="A50" s="13" t="s">
        <v>14</v>
      </c>
      <c r="B50" s="17" t="s">
        <v>10</v>
      </c>
      <c r="C50" s="22">
        <f>SUM(C43:C49)</f>
        <v>0</v>
      </c>
      <c r="D50" s="23">
        <f>SUM(D43:D49)</f>
        <v>0</v>
      </c>
      <c r="E50" s="23">
        <f t="shared" ref="E50:H50" si="19">SUM(E43:E49)</f>
        <v>0</v>
      </c>
      <c r="F50" s="23">
        <f t="shared" si="19"/>
        <v>0</v>
      </c>
      <c r="G50" s="23">
        <f t="shared" si="19"/>
        <v>0</v>
      </c>
      <c r="H50" s="23">
        <f t="shared" si="19"/>
        <v>0</v>
      </c>
      <c r="I50" s="26">
        <f t="shared" si="18"/>
        <v>0</v>
      </c>
      <c r="J50" s="20"/>
      <c r="AF50" s="27"/>
    </row>
    <row r="51" spans="1:32" x14ac:dyDescent="0.25">
      <c r="A51" s="32"/>
      <c r="B51" s="32"/>
      <c r="C51" s="2"/>
      <c r="D51" s="24"/>
      <c r="E51" s="24"/>
      <c r="F51" s="24"/>
      <c r="G51" s="24"/>
      <c r="H51" s="24"/>
      <c r="I51" s="3"/>
      <c r="J51" s="3"/>
      <c r="AF51" s="27"/>
    </row>
    <row r="52" spans="1:32" x14ac:dyDescent="0.25">
      <c r="A52" s="32"/>
      <c r="B52" s="32"/>
      <c r="C52" s="2"/>
      <c r="D52" s="21">
        <v>0</v>
      </c>
      <c r="E52" s="21">
        <v>0</v>
      </c>
      <c r="F52" s="21">
        <v>0</v>
      </c>
      <c r="G52" s="21">
        <v>0</v>
      </c>
      <c r="H52" s="21">
        <v>0</v>
      </c>
      <c r="I52" s="3"/>
      <c r="J52" s="3"/>
    </row>
    <row r="53" spans="1:32" x14ac:dyDescent="0.25">
      <c r="A53" s="32"/>
      <c r="B53" s="32"/>
      <c r="C53" s="3"/>
      <c r="D53" s="3"/>
      <c r="E53" s="3"/>
      <c r="F53" s="3"/>
      <c r="G53" s="3"/>
      <c r="H53" s="3"/>
      <c r="I53" s="3"/>
      <c r="J53" s="3"/>
    </row>
  </sheetData>
  <mergeCells count="8">
    <mergeCell ref="O4:P4"/>
    <mergeCell ref="A51:B51"/>
    <mergeCell ref="A52:B52"/>
    <mergeCell ref="A53:B53"/>
    <mergeCell ref="A21:B21"/>
    <mergeCell ref="A31:B31"/>
    <mergeCell ref="A41:B41"/>
    <mergeCell ref="O21:P2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2BD1A1B5CAC249A95BCCCA1576DD25" ma:contentTypeVersion="15" ma:contentTypeDescription="Create a new document." ma:contentTypeScope="" ma:versionID="ac690216a3feb446896882bf9e857d22">
  <xsd:schema xmlns:xsd="http://www.w3.org/2001/XMLSchema" xmlns:xs="http://www.w3.org/2001/XMLSchema" xmlns:p="http://schemas.microsoft.com/office/2006/metadata/properties" xmlns:ns2="e4f8e1ef-7590-4615-a0b0-41d92864fb7e" xmlns:ns3="396b9688-3d64-4f4f-b40d-59fd809f50b1" targetNamespace="http://schemas.microsoft.com/office/2006/metadata/properties" ma:root="true" ma:fieldsID="fc1e276ee4a1c4eeb2be670671426ef6" ns2:_="" ns3:_="">
    <xsd:import namespace="e4f8e1ef-7590-4615-a0b0-41d92864fb7e"/>
    <xsd:import namespace="396b9688-3d64-4f4f-b40d-59fd809f50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f8e1ef-7590-4615-a0b0-41d92864fb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0e055066-1d0b-4836-b0e5-54071a0012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6b9688-3d64-4f4f-b40d-59fd809f50b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2bc5e357-ab1f-46ac-95c6-94fe6785f860}" ma:internalName="TaxCatchAll" ma:showField="CatchAllData" ma:web="396b9688-3d64-4f4f-b40d-59fd809f50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96b9688-3d64-4f4f-b40d-59fd809f50b1" xsi:nil="true"/>
    <lcf76f155ced4ddcb4097134ff3c332f xmlns="e4f8e1ef-7590-4615-a0b0-41d92864fb7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039E8B4-6FF4-40F6-9FA1-E9DA9C4398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f8e1ef-7590-4615-a0b0-41d92864fb7e"/>
    <ds:schemaRef ds:uri="396b9688-3d64-4f4f-b40d-59fd809f50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07506E0-0CDE-4051-B6C4-9C0A8A8B90A4}">
  <ds:schemaRefs>
    <ds:schemaRef ds:uri="http://schemas.microsoft.com/office/2006/metadata/properties"/>
    <ds:schemaRef ds:uri="http://schemas.microsoft.com/office/infopath/2007/PartnerControls"/>
    <ds:schemaRef ds:uri="396b9688-3d64-4f4f-b40d-59fd809f50b1"/>
    <ds:schemaRef ds:uri="e4f8e1ef-7590-4615-a0b0-41d92864fb7e"/>
  </ds:schemaRefs>
</ds:datastoreItem>
</file>

<file path=customXml/itemProps3.xml><?xml version="1.0" encoding="utf-8"?>
<ds:datastoreItem xmlns:ds="http://schemas.openxmlformats.org/officeDocument/2006/customXml" ds:itemID="{73BCA648-DFB0-4933-AD78-DBDD8CAF7C5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Estatus diario</vt:lpstr>
    </vt:vector>
  </TitlesOfParts>
  <Company>PLANETA INNOVACION,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Calvo Prieto</dc:creator>
  <cp:lastModifiedBy>Santiago Calvo Prieto</cp:lastModifiedBy>
  <dcterms:created xsi:type="dcterms:W3CDTF">2025-07-28T16:00:59Z</dcterms:created>
  <dcterms:modified xsi:type="dcterms:W3CDTF">2025-11-10T12:29:42Z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0x010100A62BD1A1B5CAC249A95BCCCA1576DD25</vt:lpwstr>
  </property>
  <property fmtid="{D5CDD505-2E9C-101B-9397-08002B2CF9AE}" pid="3" name="MediaServiceImageTags">
    <vt:lpwstr/>
  </property>
</Properties>
</file>