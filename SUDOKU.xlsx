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0" documentId="13_ncr:1_{0AD06FF4-A909-423F-B378-69C0033412ED}" xr6:coauthVersionLast="47" xr6:coauthVersionMax="47" xr10:uidLastSave="{9A7DD2CE-27A9-4B53-8730-FA9BD08B419F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<sst xmlns="http://schemas.openxmlformats.org/spreadsheetml/2006/main" count="116" uniqueCount="23">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</sst>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0.0"/>
    <numFmt numFmtId="167" formatCode="_-* #,##0.00\ &quot;€&quot;_-;\-* #,##0.00\ &quot;€&quot;_-;_-* &quot;-&quot;??\ &quot;€&quot;_-;_-@_-"/>
  </numFmts>
  <fonts count="16" x14ac:knownFonts="1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64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/>
    <xf numFmtId="0" fontId="0" fillId="0" borderId="0" xfId="0"/>
    <xf numFmtId="0" fontId="0" fillId="0" borderId="0" xfId="0" applyAlignment="1">
      <alignment horizontal="left"/>
    </xf>
    <xf numFmtId="22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NumberFormat="1"/>
  </cellXfs>
  <cellStyles count="64">
    <cellStyle name="Hyperlink" xfId="18" xr:uid="{B2018405-1245-4847-A253-ACF8F5BE6E28}"/>
    <cellStyle name="Moneda 2" xfId="19" xr:uid="{CEBF53AA-8B6B-4E2D-9FCD-940A0C0397D1}"/>
    <cellStyle name="Moneda 2 10" xfId="59" xr:uid="{FDF75B95-A597-4585-8A7D-1645B69538BC}"/>
    <cellStyle name="Moneda 2 2" xfId="21" xr:uid="{EBFDC036-FF0B-49ED-AC3A-709715F7B82A}"/>
    <cellStyle name="Moneda 2 2 2" xfId="37" xr:uid="{CC7FC404-D3BE-4275-A513-2A476E6F003A}"/>
    <cellStyle name="Moneda 2 2 3" xfId="40" xr:uid="{F05178DD-0970-4BBD-B557-6633C9B3DA72}"/>
    <cellStyle name="Moneda 2 2 4" xfId="43" xr:uid="{B1D1D8B7-FFC4-44C3-A297-D56D6135BA6B}"/>
    <cellStyle name="Moneda 2 2 5" xfId="46" xr:uid="{E0C5F919-636E-4F9D-8793-F35F305CE8A8}"/>
    <cellStyle name="Moneda 2 2 6" xfId="50" xr:uid="{060513CE-1E51-4AF2-BED2-3308E7A5528F}"/>
    <cellStyle name="Moneda 2 2 7" xfId="55" xr:uid="{94A23887-FE88-4793-9FDA-92C9211068DD}"/>
    <cellStyle name="Moneda 2 2 8" xfId="61" xr:uid="{49063416-6398-4A1E-BD9F-012E3656CEF7}"/>
    <cellStyle name="Moneda 2 3" xfId="36" xr:uid="{1215ABD4-5220-487B-89B5-AA885EAB04A5}"/>
    <cellStyle name="Moneda 2 3 2" xfId="39" xr:uid="{3420C6FC-40C3-4347-8915-5E37D4F27C66}"/>
    <cellStyle name="Moneda 2 3 3" xfId="42" xr:uid="{7BE246B1-3564-4109-A03A-9C159034B353}"/>
    <cellStyle name="Moneda 2 3 4" xfId="45" xr:uid="{C537BDE2-9AB6-4E9B-9408-C3A95636E5DD}"/>
    <cellStyle name="Moneda 2 3 5" xfId="49" xr:uid="{A5551541-CFD7-4A26-9869-71C8BCD7753D}"/>
    <cellStyle name="Moneda 2 3 6" xfId="54" xr:uid="{D8E5DCCD-1ADF-400D-B378-83D66EE3168E}"/>
    <cellStyle name="Moneda 2 3 7" xfId="60" xr:uid="{F5F4C5BE-7CED-4B09-A44C-DC609CCE0C51}"/>
    <cellStyle name="Moneda 2 4" xfId="22" xr:uid="{C856720B-E8A6-4AC5-AB83-CF98E3EF83EE}"/>
    <cellStyle name="Moneda 2 5" xfId="38" xr:uid="{543CB192-C6A7-4F18-96D2-D078B55A61CB}"/>
    <cellStyle name="Moneda 2 6" xfId="41" xr:uid="{14D1D7A7-6BF3-4644-A820-240992FDB63E}"/>
    <cellStyle name="Moneda 2 7" xfId="44" xr:uid="{FFF1D48E-6176-4CF7-81EF-EE5AC9546ED6}"/>
    <cellStyle name="Moneda 2 8" xfId="48" xr:uid="{505EEDDC-CA34-4C8E-894B-E00A33C56132}"/>
    <cellStyle name="Moneda 2 9" xfId="53" xr:uid="{9DEFD098-5F68-4A9D-A770-6123E150DD6E}"/>
    <cellStyle name="Moneda 3" xfId="47" xr:uid="{85CAFDD7-BC80-42AB-AB19-AD3F8539702F}"/>
    <cellStyle name="Moneda 3 2" xfId="51" xr:uid="{96C4286F-DBE0-4288-BB74-90F8B138EA6D}"/>
    <cellStyle name="Moneda 3 3" xfId="56" xr:uid="{34925A72-50E9-4BB6-AB5E-29A42278EC06}"/>
    <cellStyle name="Moneda 3 4" xfId="62" xr:uid="{2CBB34AE-A901-454F-8B45-5C34D3D6C141}"/>
    <cellStyle name="Moneda 4" xfId="52" xr:uid="{37C3E87F-62D1-4247-9FCD-BF46D4177B38}"/>
    <cellStyle name="Moneda 4 2" xfId="57" xr:uid="{0D33716A-1B52-49C5-B03E-298B115A6242}"/>
    <cellStyle name="Moneda 4 3" xfId="63" xr:uid="{ED1C5CE2-B4BC-4A3D-AB59-9C0356444D01}"/>
    <cellStyle name="Moneda 5" xfId="58" xr:uid="{3670C6D2-7DDC-4274-A607-0FB14349F8E2}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Porcentaje 2" xfId="17" xr:uid="{B4DC4AB0-E63A-4080-AE1F-316E36CAB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5972.522349074075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17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288"/>
  </r>
  <r>
    <x v="0"/>
    <x v="1"/>
    <n v="292"/>
  </r>
  <r>
    <x v="0"/>
    <x v="2"/>
    <n v="311"/>
  </r>
  <r>
    <x v="0"/>
    <x v="3"/>
    <n v="226"/>
  </r>
  <r>
    <x v="0"/>
    <x v="4"/>
    <n v="337"/>
  </r>
  <r>
    <x v="0"/>
    <x v="5"/>
    <n v="286"/>
  </r>
  <r>
    <x v="0"/>
    <x v="6"/>
    <m/>
  </r>
  <r>
    <x v="0"/>
    <x v="7"/>
    <n v="1740"/>
  </r>
  <r>
    <x v="1"/>
    <x v="6"/>
    <m/>
  </r>
  <r>
    <x v="2"/>
    <x v="8"/>
    <s v="TL"/>
  </r>
  <r>
    <x v="2"/>
    <x v="0"/>
    <n v="58"/>
  </r>
  <r>
    <x v="2"/>
    <x v="1"/>
    <n v="62"/>
  </r>
  <r>
    <x v="2"/>
    <x v="2"/>
    <n v="65"/>
  </r>
  <r>
    <x v="2"/>
    <x v="3"/>
    <n v="54"/>
  </r>
  <r>
    <x v="2"/>
    <x v="4"/>
    <n v="72"/>
  </r>
  <r>
    <x v="2"/>
    <x v="5"/>
    <n v="66"/>
  </r>
  <r>
    <x v="2"/>
    <x v="6"/>
    <m/>
  </r>
  <r>
    <x v="2"/>
    <x v="7"/>
    <n v="377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topLeftCell="C1" workbookViewId="0">
      <selection activeCell="O25" sqref="O25"/>
    </sheetView>
  </sheetViews>
  <sheetFormatPr baseColWidth="10" defaultRowHeight="15" x14ac:dyDescent="0.2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1" width="4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 x14ac:dyDescent="0.25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 x14ac:dyDescent="0.25">
      <c r="A2" s="5" t="s">
        <v>0</v>
      </c>
      <c r="B2" s="6" t="s">
        <v>1</v>
      </c>
      <c r="C2" s="7" t="s">
        <v>2</v>
      </c>
      <c r="D2" s="8">
        <v>45965</v>
      </c>
      <c r="E2" s="8">
        <f>+D2+1</f>
        <v>45966</v>
      </c>
      <c r="F2" s="8">
        <f t="shared" ref="F2:G2" si="0">+E2+1</f>
        <v>45967</v>
      </c>
      <c r="G2" s="8">
        <f t="shared" si="0"/>
        <v>45968</v>
      </c>
      <c r="H2" s="8">
        <f>+G2+3</f>
        <v>45971</v>
      </c>
      <c r="I2" s="9" t="s">
        <v>3</v>
      </c>
      <c r="J2" s="1"/>
    </row>
    <row r="3" spans="1:22" x14ac:dyDescent="0.25">
      <c r="A3" s="5" t="s">
        <v>1</v>
      </c>
      <c r="B3" s="10" t="s">
        <v>4</v>
      </c>
      <c r="C3" s="11">
        <f>+SUM(D3:H3)</f>
        <v>288</v>
      </c>
      <c r="D3">
        <v>56</v>
      </c>
      <c r="E3">
        <v>56</v>
      </c>
      <c r="F3">
        <v>56</v>
      </c>
      <c r="G3">
        <v>62</v>
      </c>
      <c r="H3">
        <v>58</v>
      </c>
      <c r="I3" s="26">
        <f>IFERROR(C3/6/COUNT(D3:H3),0)</f>
        <v>9.6</v>
      </c>
      <c r="J3" s="3"/>
    </row>
    <row r="4" spans="1:22" x14ac:dyDescent="0.25">
      <c r="A4" s="13" t="s">
        <v>1</v>
      </c>
      <c r="B4" s="14" t="s">
        <v>5</v>
      </c>
      <c r="C4" s="11">
        <f t="shared" ref="C4:C8" si="1">+SUM(D4:H4)</f>
        <v>292</v>
      </c>
      <c r="D4">
        <v>63</v>
      </c>
      <c r="E4">
        <v>52</v>
      </c>
      <c r="F4">
        <v>59</v>
      </c>
      <c r="G4">
        <v>59</v>
      </c>
      <c r="H4">
        <v>59</v>
      </c>
      <c r="I4" s="26">
        <f t="shared" ref="I4:I10" si="2">IFERROR(C4/6/COUNT(D4:H4),0)</f>
        <v>9.7333333333333325</v>
      </c>
      <c r="J4" s="3"/>
      <c r="O4" s="28" t="s">
        <v>21</v>
      </c>
      <c r="P4" s="28"/>
    </row>
    <row r="5" spans="1:22" x14ac:dyDescent="0.25">
      <c r="A5" s="13" t="s">
        <v>1</v>
      </c>
      <c r="B5" s="10" t="s">
        <v>6</v>
      </c>
      <c r="C5" s="11">
        <f t="shared" si="1"/>
        <v>311</v>
      </c>
      <c r="D5">
        <v>63</v>
      </c>
      <c r="E5">
        <v>63</v>
      </c>
      <c r="F5">
        <v>63</v>
      </c>
      <c r="G5">
        <v>57</v>
      </c>
      <c r="H5">
        <v>65</v>
      </c>
      <c r="I5" s="26">
        <f t="shared" si="2"/>
        <v>10.366666666666667</v>
      </c>
      <c r="J5" s="3"/>
    </row>
    <row r="6" spans="1:22" x14ac:dyDescent="0.25">
      <c r="A6" s="13" t="s">
        <v>1</v>
      </c>
      <c r="B6" s="14" t="s">
        <v>7</v>
      </c>
      <c r="C6" s="11">
        <f t="shared" si="1"/>
        <v>226</v>
      </c>
      <c r="D6">
        <v>46</v>
      </c>
      <c r="E6">
        <v>42</v>
      </c>
      <c r="F6">
        <v>36</v>
      </c>
      <c r="G6">
        <v>48</v>
      </c>
      <c r="H6">
        <v>54</v>
      </c>
      <c r="I6" s="26">
        <f t="shared" si="2"/>
        <v>7.5333333333333332</v>
      </c>
      <c r="J6" s="3"/>
    </row>
    <row r="7" spans="1:22" x14ac:dyDescent="0.25">
      <c r="A7" s="13" t="s">
        <v>1</v>
      </c>
      <c r="B7" s="10" t="s">
        <v>8</v>
      </c>
      <c r="C7" s="11">
        <f t="shared" si="1"/>
        <v>337</v>
      </c>
      <c r="D7">
        <v>73</v>
      </c>
      <c r="E7">
        <v>72</v>
      </c>
      <c r="F7">
        <v>72</v>
      </c>
      <c r="G7">
        <v>48</v>
      </c>
      <c r="H7">
        <v>72</v>
      </c>
      <c r="I7" s="26">
        <f t="shared" si="2"/>
        <v>11.233333333333333</v>
      </c>
      <c r="J7" s="3"/>
    </row>
    <row r="8" spans="1:22" x14ac:dyDescent="0.25">
      <c r="A8" s="13" t="s">
        <v>1</v>
      </c>
      <c r="B8" s="10" t="s">
        <v>9</v>
      </c>
      <c r="C8" s="11">
        <f t="shared" si="1"/>
        <v>286</v>
      </c>
      <c r="D8">
        <v>62</v>
      </c>
      <c r="E8">
        <v>62</v>
      </c>
      <c r="F8">
        <v>56</v>
      </c>
      <c r="G8">
        <v>44</v>
      </c>
      <c r="H8">
        <v>62</v>
      </c>
      <c r="I8" s="26">
        <f t="shared" si="2"/>
        <v>9.5333333333333332</v>
      </c>
      <c r="J8" s="3"/>
    </row>
    <row r="9" spans="1:22" hidden="1" x14ac:dyDescent="0.25">
      <c r="A9" s="13" t="s">
        <v>1</v>
      </c>
      <c r="B9" s="15"/>
      <c r="C9" s="11"/>
      <c r="I9" s="26"/>
      <c r="J9" s="3"/>
    </row>
    <row r="10" spans="1:22" x14ac:dyDescent="0.25">
      <c r="A10" s="13" t="s">
        <v>1</v>
      </c>
      <c r="B10" s="17" t="s">
        <v>10</v>
      </c>
      <c r="C10" s="18">
        <f>SUM(C3:C9)</f>
        <v>1740</v>
      </c>
      <c r="D10" s="19">
        <f>SUM(D3:D9)</f>
        <v>363</v>
      </c>
      <c r="E10" s="19">
        <f t="shared" ref="E10:H10" si="3">SUM(E3:E9)</f>
        <v>347</v>
      </c>
      <c r="F10" s="19">
        <f t="shared" si="3"/>
        <v>342</v>
      </c>
      <c r="G10" s="19">
        <f t="shared" si="3"/>
        <v>318</v>
      </c>
      <c r="H10" s="19">
        <f t="shared" si="3"/>
        <v>370</v>
      </c>
      <c r="I10" s="26">
        <f t="shared" si="2"/>
        <v>58</v>
      </c>
      <c r="J10" s="20"/>
      <c r="O10" s="35" t="s">
        <v>18</v>
      </c>
      <c r="P10" s="35" t="s">
        <v>17</v>
      </c>
    </row>
    <row r="11" spans="1:22" x14ac:dyDescent="0.25">
      <c r="A11" s="5"/>
      <c r="B11" s="3"/>
      <c r="C11" s="2"/>
      <c r="D11" s="21"/>
      <c r="E11" s="21"/>
      <c r="F11" s="21"/>
      <c r="G11" s="21"/>
      <c r="H11" s="21"/>
      <c r="I11" s="3"/>
      <c r="J11" s="3"/>
      <c r="O11" s="35" t="s">
        <v>15</v>
      </c>
      <c r="P11" s="32" t="s">
        <v>4</v>
      </c>
      <c r="Q11" s="32" t="s">
        <v>5</v>
      </c>
      <c r="R11" s="32" t="s">
        <v>6</v>
      </c>
      <c r="S11" s="32" t="s">
        <v>7</v>
      </c>
      <c r="T11" s="32" t="s">
        <v>8</v>
      </c>
      <c r="U11" s="32" t="s">
        <v>9</v>
      </c>
      <c r="V11" s="32" t="s">
        <v>16</v>
      </c>
    </row>
    <row r="12" spans="1:22" x14ac:dyDescent="0.25">
      <c r="A12" s="5" t="s">
        <v>11</v>
      </c>
      <c r="B12" s="6" t="s">
        <v>11</v>
      </c>
      <c r="C12" s="7" t="s">
        <v>10</v>
      </c>
      <c r="D12" s="8">
        <f>+H2+1</f>
        <v>45972</v>
      </c>
      <c r="E12" s="8">
        <f>+D12+1</f>
        <v>45973</v>
      </c>
      <c r="F12" s="8">
        <f t="shared" ref="F12:G12" si="4">+E12+1</f>
        <v>45974</v>
      </c>
      <c r="G12" s="8">
        <f t="shared" si="4"/>
        <v>45975</v>
      </c>
      <c r="H12" s="8">
        <f>+G12+3</f>
        <v>45978</v>
      </c>
      <c r="I12" s="9" t="s">
        <v>3</v>
      </c>
      <c r="J12" s="1"/>
      <c r="O12" s="33" t="s">
        <v>1</v>
      </c>
      <c r="P12" s="36">
        <v>288</v>
      </c>
      <c r="Q12" s="36">
        <v>292</v>
      </c>
      <c r="R12" s="36">
        <v>311</v>
      </c>
      <c r="S12" s="36">
        <v>226</v>
      </c>
      <c r="T12" s="36">
        <v>337</v>
      </c>
      <c r="U12" s="36">
        <v>286</v>
      </c>
      <c r="V12" s="36">
        <v>1740</v>
      </c>
    </row>
    <row r="13" spans="1:22" x14ac:dyDescent="0.25">
      <c r="A13" s="13" t="s">
        <v>11</v>
      </c>
      <c r="B13" s="10" t="s">
        <v>4</v>
      </c>
      <c r="C13" s="11">
        <f>+SUM(D13:H13)</f>
        <v>58</v>
      </c>
      <c r="D13" s="31">
        <v>58</v>
      </c>
      <c r="I13" s="26">
        <f>IFERROR(C13/6/COUNT(D13:H13),0)</f>
        <v>9.6666666666666661</v>
      </c>
      <c r="J13" s="3"/>
      <c r="O13" s="33" t="s">
        <v>11</v>
      </c>
      <c r="P13" s="36">
        <v>58</v>
      </c>
      <c r="Q13" s="36">
        <v>62</v>
      </c>
      <c r="R13" s="36">
        <v>65</v>
      </c>
      <c r="S13" s="36">
        <v>54</v>
      </c>
      <c r="T13" s="36">
        <v>72</v>
      </c>
      <c r="U13" s="36">
        <v>66</v>
      </c>
      <c r="V13" s="36">
        <v>377</v>
      </c>
    </row>
    <row r="14" spans="1:22" x14ac:dyDescent="0.25">
      <c r="A14" s="13" t="s">
        <v>11</v>
      </c>
      <c r="B14" s="14" t="s">
        <v>5</v>
      </c>
      <c r="C14" s="11">
        <f t="shared" ref="C14:C18" si="5">+SUM(D14:H14)</f>
        <v>62</v>
      </c>
      <c r="D14" s="31">
        <v>62</v>
      </c>
      <c r="I14" s="26">
        <f t="shared" ref="I14:I20" si="6">IFERROR(C14/6/COUNT(D14:H14),0)</f>
        <v>10.333333333333334</v>
      </c>
      <c r="J14" s="3"/>
      <c r="O14" s="33" t="s">
        <v>12</v>
      </c>
      <c r="P14" s="36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0</v>
      </c>
    </row>
    <row r="15" spans="1:22" x14ac:dyDescent="0.25">
      <c r="A15" s="13" t="s">
        <v>11</v>
      </c>
      <c r="B15" s="10" t="s">
        <v>6</v>
      </c>
      <c r="C15" s="11">
        <f t="shared" si="5"/>
        <v>65</v>
      </c>
      <c r="D15" s="31">
        <v>65</v>
      </c>
      <c r="I15" s="26">
        <f t="shared" si="6"/>
        <v>10.833333333333334</v>
      </c>
      <c r="J15" s="3"/>
      <c r="O15" s="33" t="s">
        <v>13</v>
      </c>
      <c r="P15" s="36">
        <v>0</v>
      </c>
      <c r="Q15" s="36">
        <v>0</v>
      </c>
      <c r="R15" s="36">
        <v>0</v>
      </c>
      <c r="S15" s="36">
        <v>0</v>
      </c>
      <c r="T15" s="36">
        <v>0</v>
      </c>
      <c r="U15" s="36">
        <v>0</v>
      </c>
      <c r="V15" s="36">
        <v>0</v>
      </c>
    </row>
    <row r="16" spans="1:22" x14ac:dyDescent="0.25">
      <c r="A16" s="13" t="s">
        <v>11</v>
      </c>
      <c r="B16" s="14" t="s">
        <v>7</v>
      </c>
      <c r="C16" s="11">
        <f t="shared" si="5"/>
        <v>54</v>
      </c>
      <c r="D16" s="31">
        <v>54</v>
      </c>
      <c r="I16" s="26">
        <f t="shared" si="6"/>
        <v>9</v>
      </c>
      <c r="J16" s="3"/>
      <c r="O16" s="33" t="s">
        <v>14</v>
      </c>
      <c r="P16" s="36">
        <v>0</v>
      </c>
      <c r="Q16" s="36">
        <v>0</v>
      </c>
      <c r="R16" s="36">
        <v>0</v>
      </c>
      <c r="S16" s="36">
        <v>0</v>
      </c>
      <c r="T16" s="36">
        <v>0</v>
      </c>
      <c r="U16" s="36">
        <v>0</v>
      </c>
      <c r="V16" s="36">
        <v>0</v>
      </c>
    </row>
    <row r="17" spans="1:32" x14ac:dyDescent="0.25">
      <c r="A17" s="13" t="s">
        <v>11</v>
      </c>
      <c r="B17" s="10" t="s">
        <v>8</v>
      </c>
      <c r="C17" s="11">
        <f t="shared" si="5"/>
        <v>72</v>
      </c>
      <c r="D17" s="31">
        <v>72</v>
      </c>
      <c r="I17" s="26">
        <f t="shared" si="6"/>
        <v>12</v>
      </c>
      <c r="J17" s="3"/>
      <c r="O17" s="33" t="s">
        <v>16</v>
      </c>
      <c r="P17" s="36">
        <v>346</v>
      </c>
      <c r="Q17" s="36">
        <v>354</v>
      </c>
      <c r="R17" s="36">
        <v>376</v>
      </c>
      <c r="S17" s="36">
        <v>280</v>
      </c>
      <c r="T17" s="36">
        <v>409</v>
      </c>
      <c r="U17" s="36">
        <v>352</v>
      </c>
      <c r="V17" s="36">
        <v>2117</v>
      </c>
    </row>
    <row r="18" spans="1:32" x14ac:dyDescent="0.25">
      <c r="A18" s="13" t="s">
        <v>11</v>
      </c>
      <c r="B18" s="10" t="s">
        <v>9</v>
      </c>
      <c r="C18" s="11">
        <f t="shared" si="5"/>
        <v>66</v>
      </c>
      <c r="D18" s="31">
        <v>66</v>
      </c>
      <c r="I18" s="26">
        <f t="shared" si="6"/>
        <v>11</v>
      </c>
      <c r="J18" s="3"/>
    </row>
    <row r="19" spans="1:32" hidden="1" x14ac:dyDescent="0.25">
      <c r="A19" s="13" t="s">
        <v>11</v>
      </c>
      <c r="B19" s="15"/>
      <c r="C19" s="11"/>
      <c r="I19" s="26"/>
      <c r="J19" s="3"/>
    </row>
    <row r="20" spans="1:32" x14ac:dyDescent="0.25">
      <c r="A20" s="13" t="s">
        <v>11</v>
      </c>
      <c r="B20" s="17" t="s">
        <v>10</v>
      </c>
      <c r="C20" s="18">
        <f>SUM(C13:C19)</f>
        <v>377</v>
      </c>
      <c r="D20" s="19">
        <f>SUM(D13:D19)</f>
        <v>377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12.566666666666666</v>
      </c>
      <c r="J20" s="20"/>
    </row>
    <row r="21" spans="1:32" x14ac:dyDescent="0.25">
      <c r="A21" s="29"/>
      <c r="B21" s="29"/>
      <c r="C21" s="2"/>
      <c r="D21" s="21"/>
      <c r="E21" s="21"/>
      <c r="F21" s="21"/>
      <c r="G21" s="21"/>
      <c r="H21" s="21"/>
      <c r="I21" s="3"/>
      <c r="J21" s="3"/>
      <c r="O21" s="28" t="s">
        <v>22</v>
      </c>
      <c r="P21" s="28"/>
    </row>
    <row r="22" spans="1:32" x14ac:dyDescent="0.25">
      <c r="A22" s="5" t="s">
        <v>12</v>
      </c>
      <c r="B22" s="6" t="s">
        <v>12</v>
      </c>
      <c r="C22" s="7" t="s">
        <v>10</v>
      </c>
      <c r="D22" s="8">
        <f>+H12+1</f>
        <v>45979</v>
      </c>
      <c r="E22" s="8">
        <f>+D22+1</f>
        <v>45980</v>
      </c>
      <c r="F22" s="8">
        <f t="shared" ref="F22:G22" si="8">+E22+1</f>
        <v>45981</v>
      </c>
      <c r="G22" s="8">
        <f t="shared" si="8"/>
        <v>45982</v>
      </c>
      <c r="H22" s="8">
        <f>+G22+3</f>
        <v>45985</v>
      </c>
      <c r="I22" s="9" t="s">
        <v>3</v>
      </c>
      <c r="J22" s="1"/>
      <c r="O22" s="34">
        <v>45971.515277777777</v>
      </c>
    </row>
    <row r="23" spans="1:32" x14ac:dyDescent="0.25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 x14ac:dyDescent="0.25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 x14ac:dyDescent="0.25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 x14ac:dyDescent="0.25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 x14ac:dyDescent="0.25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 x14ac:dyDescent="0.25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 x14ac:dyDescent="0.25">
      <c r="A29" s="13" t="s">
        <v>12</v>
      </c>
      <c r="B29" s="15"/>
      <c r="C29" s="11"/>
      <c r="I29" s="26"/>
      <c r="J29" s="3"/>
    </row>
    <row r="30" spans="1:32" x14ac:dyDescent="0.25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 x14ac:dyDescent="0.25">
      <c r="A31" s="30"/>
      <c r="B31" s="30"/>
      <c r="C31" s="3"/>
      <c r="D31" s="3"/>
      <c r="E31" s="3"/>
      <c r="F31" s="3"/>
      <c r="G31" s="3"/>
      <c r="H31" s="3"/>
      <c r="I31" s="3"/>
      <c r="J31" s="3"/>
      <c r="AF31" s="27"/>
    </row>
    <row r="32" spans="1:32" x14ac:dyDescent="0.25">
      <c r="A32" s="5" t="s">
        <v>13</v>
      </c>
      <c r="B32" s="6" t="s">
        <v>13</v>
      </c>
      <c r="C32" s="7" t="s">
        <v>10</v>
      </c>
      <c r="D32" s="8">
        <f>+H22+1</f>
        <v>45986</v>
      </c>
      <c r="E32" s="8">
        <f>+D32+1</f>
        <v>45987</v>
      </c>
      <c r="F32" s="8">
        <f t="shared" ref="F32:G32" si="12">+E32+1</f>
        <v>45988</v>
      </c>
      <c r="G32" s="8">
        <f t="shared" si="12"/>
        <v>45989</v>
      </c>
      <c r="H32" s="8">
        <f>+G32+3</f>
        <v>45992</v>
      </c>
      <c r="I32" s="9" t="s">
        <v>3</v>
      </c>
      <c r="J32" s="1"/>
      <c r="AF32" s="27"/>
    </row>
    <row r="33" spans="1:32" x14ac:dyDescent="0.25">
      <c r="A33" s="13" t="s">
        <v>13</v>
      </c>
      <c r="B33" s="10" t="s">
        <v>4</v>
      </c>
      <c r="C33" s="11">
        <f>+SUM(D33:H33)</f>
        <v>0</v>
      </c>
      <c r="D33" s="12"/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 x14ac:dyDescent="0.25">
      <c r="A34" s="13" t="s">
        <v>13</v>
      </c>
      <c r="B34" s="14" t="s">
        <v>5</v>
      </c>
      <c r="C34" s="11">
        <f t="shared" ref="C34:C38" si="13">+SUM(D34:H34)</f>
        <v>0</v>
      </c>
      <c r="D34" s="12"/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 x14ac:dyDescent="0.25">
      <c r="A35" s="13" t="s">
        <v>13</v>
      </c>
      <c r="B35" s="10" t="s">
        <v>6</v>
      </c>
      <c r="C35" s="11">
        <f t="shared" si="13"/>
        <v>0</v>
      </c>
      <c r="D35" s="12"/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 x14ac:dyDescent="0.25">
      <c r="A36" s="13" t="s">
        <v>13</v>
      </c>
      <c r="B36" s="14" t="s">
        <v>7</v>
      </c>
      <c r="C36" s="11">
        <f t="shared" si="13"/>
        <v>0</v>
      </c>
      <c r="D36" s="12"/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 x14ac:dyDescent="0.25">
      <c r="A37" s="13" t="s">
        <v>13</v>
      </c>
      <c r="B37" s="10" t="s">
        <v>8</v>
      </c>
      <c r="C37" s="11">
        <f t="shared" si="13"/>
        <v>0</v>
      </c>
      <c r="D37" s="12"/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 x14ac:dyDescent="0.25">
      <c r="A38" s="13" t="s">
        <v>13</v>
      </c>
      <c r="B38" s="10" t="s">
        <v>9</v>
      </c>
      <c r="C38" s="11">
        <f t="shared" si="13"/>
        <v>0</v>
      </c>
      <c r="D38" s="12"/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 x14ac:dyDescent="0.25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 x14ac:dyDescent="0.25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 x14ac:dyDescent="0.25">
      <c r="A41" s="30"/>
      <c r="B41" s="30"/>
      <c r="C41" s="3"/>
      <c r="D41" s="3"/>
      <c r="E41" s="3"/>
      <c r="F41" s="3"/>
      <c r="G41" s="3"/>
      <c r="H41" s="3"/>
      <c r="I41" s="3"/>
      <c r="J41" s="3"/>
      <c r="AF41" s="27"/>
    </row>
    <row r="42" spans="1:32" x14ac:dyDescent="0.25">
      <c r="A42" s="5" t="s">
        <v>14</v>
      </c>
      <c r="B42" s="6" t="s">
        <v>14</v>
      </c>
      <c r="C42" s="7" t="s">
        <v>10</v>
      </c>
      <c r="D42" s="8">
        <f>+H32+1</f>
        <v>45993</v>
      </c>
      <c r="E42" s="8">
        <f>+D42+1</f>
        <v>45994</v>
      </c>
      <c r="F42" s="8">
        <f t="shared" ref="F42:G42" si="16">+E42+1</f>
        <v>45995</v>
      </c>
      <c r="G42" s="8">
        <f t="shared" si="16"/>
        <v>45996</v>
      </c>
      <c r="H42" s="8">
        <f>+G42+3</f>
        <v>45999</v>
      </c>
      <c r="I42" s="9" t="s">
        <v>3</v>
      </c>
      <c r="J42" s="1"/>
      <c r="AF42" s="27"/>
    </row>
    <row r="43" spans="1:32" x14ac:dyDescent="0.25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 x14ac:dyDescent="0.25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 x14ac:dyDescent="0.25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 x14ac:dyDescent="0.25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 x14ac:dyDescent="0.25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 x14ac:dyDescent="0.25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 x14ac:dyDescent="0.25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 x14ac:dyDescent="0.25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 x14ac:dyDescent="0.25">
      <c r="A51" s="29"/>
      <c r="B51" s="29"/>
      <c r="C51" s="2"/>
      <c r="D51" s="24"/>
      <c r="E51" s="24"/>
      <c r="F51" s="24"/>
      <c r="G51" s="24"/>
      <c r="H51" s="24"/>
      <c r="I51" s="3"/>
      <c r="J51" s="3"/>
      <c r="AF51" s="27"/>
    </row>
    <row r="52" spans="1:32" x14ac:dyDescent="0.25">
      <c r="A52" s="29"/>
      <c r="B52" s="29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 x14ac:dyDescent="0.25">
      <c r="A53" s="29"/>
      <c r="B53" s="29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ac690216a3feb446896882bf9e857d22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fc1e276ee4a1c4eeb2be670671426ef6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8039E8B4-6FF4-40F6-9FA1-E9DA9C4398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2025-11-11T11:32:16Z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