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95" documentId="13_ncr:1_{0AD06FF4-A909-423F-B378-69C0033412ED}" xr6:coauthVersionLast="47" xr6:coauthVersionMax="47" xr10:uidLastSave="{E00A7A31-F7E6-41C9-B715-1D2F69B55449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3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E2" i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<sst xmlns="http://schemas.openxmlformats.org/spreadsheetml/2006/main" count="118" uniqueCount="24">
  <si>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</si>
  <si>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</si>
  <si>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</si>
  <si>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</si>
  <si>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</si>
  <si>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</si>
  <si>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</si>
  <si>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</si>
  <si>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</si>
  <si>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</si>
  <si>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</si>
  <si>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</si>
  <si>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</si>
  <si>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</si>
  <si>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</si>
  <si>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</si>
  <si>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</si>
  <si>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</si>
  <si>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</si>
  <si>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</si>
  <si>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</si>
  <si>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</si>
  <si>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</si>
  <si>
    <t>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</si>
</sst>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0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304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0 5" xfId="286" xr:uid="{721499DF-B54D-40BB-AB3A-DA07F1785B62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1 5" xfId="291" xr:uid="{554D3D0F-FFE2-4863-8939-9FD4DADA551D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2 5" xfId="296" xr:uid="{84CD5094-55DB-4263-8857-64D1F384208D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3 4" xfId="260" xr:uid="{F13A5BF8-9AC4-49E3-856F-084736FC9AD3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17" xfId="255" xr:uid="{47C87C91-D05B-4365-AB7C-5B116842909C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0 5" xfId="298" xr:uid="{7AD1CE47-E173-4456-8881-4870FEF752C5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1 4" xfId="261" xr:uid="{479DED99-FD38-4EDB-8A6A-3E2AE96CA395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15" xfId="257" xr:uid="{20055C74-8600-4B4E-B66C-008AF1A968A4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2 5" xfId="264" xr:uid="{ECAF40C8-5546-4E7C-B118-47021AC53B0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3 5" xfId="267" xr:uid="{2AB8E6A5-2ADF-4C53-9448-9BE6D8AD85EE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4 5" xfId="270" xr:uid="{97AFE70E-6E26-4A5B-9A69-C5EEF837C853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5 5" xfId="273" xr:uid="{D0BB08B7-6D35-4405-849D-5C20E2DA1C0E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6 5" xfId="277" xr:uid="{D6668A9C-0735-4921-8C1F-C2C30A7639AC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7 5" xfId="282" xr:uid="{E4D1B045-D26E-4A36-B412-84FCADD1E3DE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8 5" xfId="288" xr:uid="{F23AE6E4-AAEF-46E3-A20D-EEBEB6A4308D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2 9 5" xfId="293" xr:uid="{CB7CC49D-EF63-4C72-8529-03AE18049B06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0 4" xfId="263" xr:uid="{2EDFE188-C919-438C-BED7-34478823B1F0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14" xfId="256" xr:uid="{047DDC5F-042F-4F06-B45B-97750A590BD9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2 5" xfId="266" xr:uid="{577D9394-14B6-4DB1-B166-B719AF0E087B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3 5" xfId="269" xr:uid="{A8040A55-45EA-4CDD-AD08-954B2A1D01F5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4 5" xfId="272" xr:uid="{3B176A68-AD1A-48AE-A7DF-87346DC97141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5 5" xfId="276" xr:uid="{95AB7E0D-8C17-4588-90FD-AD693CC2181A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6 5" xfId="281" xr:uid="{4BE63423-B5F8-47A9-8377-B1DAA3803F09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7 5" xfId="287" xr:uid="{A1AD85FA-0F29-41E9-83F6-F8DF0CCE3936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8 5" xfId="292" xr:uid="{FAD92744-5199-426C-9225-DFFA2A55F864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3 9 5" xfId="297" xr:uid="{557B85F5-8373-4407-A9F9-C3EA24C8C7A1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4 5" xfId="262" xr:uid="{756D9400-C2EE-4B19-AB46-64163E84F78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5 5" xfId="265" xr:uid="{11E2AF9D-3A55-45E3-9B9C-CEF6FAC25694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6 5" xfId="268" xr:uid="{99FE5A0D-8E09-4DE5-8F7E-172BD753D330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7 5" xfId="271" xr:uid="{BBF80D97-DB48-4966-BE25-BCD55EF437BB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8 5" xfId="275" xr:uid="{60B948D5-B4AE-405B-A0FA-C9A8F9AAB957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2 9 5" xfId="280" xr:uid="{B9D66BE8-B78D-4203-B98E-4933871DB0CE}"/>
    <cellStyle name="Moneda 3" xfId="47" xr:uid="{85CAFDD7-BC80-42AB-AB19-AD3F8539702F}"/>
    <cellStyle name="Moneda 3 10" xfId="210" xr:uid="{47A1FA21-1B88-42B7-9293-A37799E2DB5B}"/>
    <cellStyle name="Moneda 3 11" xfId="258" xr:uid="{6BC7C7A4-3049-4AAA-8D6A-1FF08649CC67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2 5" xfId="278" xr:uid="{3696193C-A3E0-4286-8BAF-6FACBE41F256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3 5" xfId="283" xr:uid="{A5CE32CD-564E-440C-BAE0-63D3E577274E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4 5" xfId="289" xr:uid="{B9BF1107-5410-4E78-B117-8F7752C80ED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5 5" xfId="294" xr:uid="{C46E3977-710A-48E0-96DB-326FA64F309A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6 5" xfId="299" xr:uid="{118F50C4-5FE4-4124-8FE5-A74A0441B6C4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7 4" xfId="274" xr:uid="{989D063F-734C-42F6-91A4-12C9992A8444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10" xfId="259" xr:uid="{311046E6-A922-4B45-A93C-82F30060154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2 5" xfId="284" xr:uid="{0FA7BD94-F0A2-416C-B6C0-7DC8147AE08F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3 5" xfId="290" xr:uid="{2ECB4995-9C43-4ABA-99F8-67B163A24DF0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4 5" xfId="295" xr:uid="{6CD6C3CD-12E5-4BF9-9916-2AFFEAB6D009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5 5" xfId="300" xr:uid="{3F1B598D-56C4-4098-9205-DD9611CED73B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6 4" xfId="279" xr:uid="{02FBC436-F645-465E-8F75-707BB06D02AA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5 5" xfId="285" xr:uid="{771CEC20-E009-4C58-BC25-3B35DC9173F9}"/>
    <cellStyle name="Moneda 6" xfId="253" xr:uid="{A995F97A-4D71-43DC-9949-BFE8D21A8A32}"/>
    <cellStyle name="Moneda 6 2" xfId="301" xr:uid="{9D0714FA-6736-4DDF-9F4B-F221C4021677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16 2" xfId="302" xr:uid="{6F6D7CDF-F565-41AE-BB55-FCED5269665F}"/>
    <cellStyle name="Normal 17" xfId="303" xr:uid="{FA37BBD5-B52E-4D72-8E31-05C4DA7A2670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155.771338194441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4">
        <s v="A1"/>
        <s v="A2"/>
        <s v="B1"/>
        <s v="B2"/>
        <s v="C1"/>
        <s v="C2"/>
        <s v="C4"/>
        <s v="TL"/>
        <m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69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255"/>
  </r>
  <r>
    <x v="0"/>
    <x v="1"/>
    <n v="866"/>
  </r>
  <r>
    <x v="0"/>
    <x v="2"/>
    <n v="1083"/>
  </r>
  <r>
    <x v="0"/>
    <x v="3"/>
    <n v="1071"/>
  </r>
  <r>
    <x v="0"/>
    <x v="4"/>
    <n v="1020"/>
  </r>
  <r>
    <x v="0"/>
    <x v="5"/>
    <n v="848"/>
  </r>
  <r>
    <x v="0"/>
    <x v="6"/>
    <n v="816"/>
  </r>
  <r>
    <x v="0"/>
    <x v="7"/>
    <n v="6959"/>
  </r>
  <r>
    <x v="1"/>
    <x v="8"/>
    <m/>
  </r>
  <r>
    <x v="2"/>
    <x v="9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8"/>
    <m/>
  </r>
  <r>
    <x v="2"/>
    <x v="7"/>
    <n v="0"/>
  </r>
  <r>
    <x v="1"/>
    <x v="8"/>
    <m/>
  </r>
  <r>
    <x v="3"/>
    <x v="10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8"/>
    <m/>
  </r>
  <r>
    <x v="3"/>
    <x v="7"/>
    <n v="0"/>
  </r>
  <r>
    <x v="1"/>
    <x v="8"/>
    <m/>
  </r>
  <r>
    <x v="4"/>
    <x v="11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8"/>
    <m/>
  </r>
  <r>
    <x v="4"/>
    <x v="7"/>
    <n v="0"/>
  </r>
  <r>
    <x v="1"/>
    <x v="8"/>
    <m/>
  </r>
  <r>
    <x v="5"/>
    <x v="12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8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W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5">
        <item x="0"/>
        <item x="1"/>
        <item x="2"/>
        <item x="3"/>
        <item x="4"/>
        <item x="5"/>
        <item h="1" m="1" x="13"/>
        <item h="1" x="9"/>
        <item h="1" x="10"/>
        <item h="1" x="11"/>
        <item h="1" x="12"/>
        <item h="1" x="7"/>
        <item h="1" x="8"/>
        <item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13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AB22" sqref="AB22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17" width="4.140625" bestFit="1" customWidth="1"/>
    <col min="18" max="20" width="5.140625" bestFit="1" customWidth="1"/>
    <col min="21" max="22" width="4.140625" bestFit="1" customWidth="1"/>
    <col min="23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3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3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3">
      <c r="A3" s="5" t="s">
        <v>1</v>
      </c>
      <c r="B3" s="10" t="s">
        <v>4</v>
      </c>
      <c r="C3" s="11">
        <f>+SUM(D3:H3)</f>
        <v>1255</v>
      </c>
      <c r="D3" s="31">
        <v>1255</v>
      </c>
      <c r="I3" s="26">
        <f>IFERROR(C3/6/COUNT(D3:H3),0)</f>
        <v>209.16666666666666</v>
      </c>
      <c r="J3" s="3"/>
    </row>
    <row r="4" spans="1:23">
      <c r="A4" s="13" t="s">
        <v>1</v>
      </c>
      <c r="B4" s="14" t="s">
        <v>5</v>
      </c>
      <c r="C4" s="11">
        <f t="shared" ref="C4:C9" si="1">+SUM(D4:H4)</f>
        <v>866</v>
      </c>
      <c r="D4" s="31">
        <v>866</v>
      </c>
      <c r="I4" s="26">
        <f t="shared" ref="I4:I10" si="2">IFERROR(C4/6/COUNT(D4:H4),0)</f>
        <v>144.33333333333334</v>
      </c>
      <c r="J4" s="3"/>
      <c r="O4" s="32" t="s">
        <v>21</v>
      </c>
      <c r="P4" s="32"/>
    </row>
    <row r="5" spans="1:23">
      <c r="A5" s="13" t="s">
        <v>1</v>
      </c>
      <c r="B5" s="10" t="s">
        <v>6</v>
      </c>
      <c r="C5" s="11">
        <f t="shared" si="1"/>
        <v>1083</v>
      </c>
      <c r="D5" s="31">
        <v>1083</v>
      </c>
      <c r="I5" s="26">
        <f t="shared" si="2"/>
        <v>180.5</v>
      </c>
      <c r="J5" s="3"/>
    </row>
    <row r="6" spans="1:23">
      <c r="A6" s="13" t="s">
        <v>1</v>
      </c>
      <c r="B6" s="14" t="s">
        <v>7</v>
      </c>
      <c r="C6" s="11">
        <f t="shared" si="1"/>
        <v>1071</v>
      </c>
      <c r="D6" s="31">
        <v>1071</v>
      </c>
      <c r="I6" s="26">
        <f t="shared" si="2"/>
        <v>178.5</v>
      </c>
      <c r="J6" s="3"/>
    </row>
    <row r="7" spans="1:23">
      <c r="A7" s="13" t="s">
        <v>1</v>
      </c>
      <c r="B7" s="10" t="s">
        <v>8</v>
      </c>
      <c r="C7" s="11">
        <f t="shared" si="1"/>
        <v>1020</v>
      </c>
      <c r="D7" s="31">
        <v>1020</v>
      </c>
      <c r="I7" s="26">
        <f t="shared" si="2"/>
        <v>170</v>
      </c>
      <c r="J7" s="3"/>
    </row>
    <row r="8" spans="1:23">
      <c r="A8" s="13" t="s">
        <v>1</v>
      </c>
      <c r="B8" s="10" t="s">
        <v>9</v>
      </c>
      <c r="C8" s="11">
        <f t="shared" si="1"/>
        <v>848</v>
      </c>
      <c r="D8" s="31">
        <v>848</v>
      </c>
      <c r="I8" s="26">
        <f t="shared" si="2"/>
        <v>141.33333333333334</v>
      </c>
      <c r="J8" s="3"/>
    </row>
    <row r="9" spans="1:23">
      <c r="A9" s="13" t="s">
        <v>1</v>
      </c>
      <c r="B9" s="15" t="s">
        <v>23</v>
      </c>
      <c r="C9" s="11">
        <f t="shared" si="1"/>
        <v>816</v>
      </c>
      <c r="D9" s="31">
        <v>816</v>
      </c>
      <c r="I9" s="26"/>
      <c r="J9" s="3"/>
    </row>
    <row r="10" spans="1:23">
      <c r="A10" s="13" t="s">
        <v>1</v>
      </c>
      <c r="B10" s="17" t="s">
        <v>10</v>
      </c>
      <c r="C10" s="18">
        <f>SUM(C3:C9)</f>
        <v>6959</v>
      </c>
      <c r="D10" s="19">
        <f>SUM(D3:D9)</f>
        <v>6959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231.96666666666664</v>
      </c>
      <c r="J10" s="20"/>
      <c r="O10" s="30" t="s">
        <v>18</v>
      </c>
      <c r="P10" s="30" t="s">
        <v>17</v>
      </c>
    </row>
    <row r="11" spans="1:23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23</v>
      </c>
      <c r="W11" t="s">
        <v>16</v>
      </c>
    </row>
    <row r="12" spans="1:23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 s="35">
        <v>1255</v>
      </c>
      <c r="Q12" s="35">
        <v>866</v>
      </c>
      <c r="R12" s="35">
        <v>1083</v>
      </c>
      <c r="S12" s="35">
        <v>1071</v>
      </c>
      <c r="T12" s="35">
        <v>1020</v>
      </c>
      <c r="U12" s="35">
        <v>848</v>
      </c>
      <c r="V12" s="35">
        <v>816</v>
      </c>
      <c r="W12" s="35">
        <v>6959</v>
      </c>
    </row>
    <row r="13" spans="1:23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/>
      <c r="W13" s="35">
        <v>0</v>
      </c>
    </row>
    <row r="14" spans="1:23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/>
      <c r="W14" s="35">
        <v>0</v>
      </c>
    </row>
    <row r="15" spans="1:23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/>
      <c r="W15" s="35">
        <v>0</v>
      </c>
    </row>
    <row r="16" spans="1:23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/>
      <c r="W16" s="35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1255</v>
      </c>
      <c r="Q17" s="35">
        <v>866</v>
      </c>
      <c r="R17" s="35">
        <v>1083</v>
      </c>
      <c r="S17" s="35">
        <v>1071</v>
      </c>
      <c r="T17" s="35">
        <v>1020</v>
      </c>
      <c r="U17" s="35">
        <v>848</v>
      </c>
      <c r="V17" s="35">
        <v>816</v>
      </c>
      <c r="W17" s="35">
        <v>6959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46146.854166666664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B9C6E1-9ED5-4F9E-A921-9601F6BFCC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3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2026-05-13T16:30:52Z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