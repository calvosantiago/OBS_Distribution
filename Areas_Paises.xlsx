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71" documentId="13_ncr:1_{A8E03CFD-D3C2-4BD9-85BF-A581898274A9}" xr6:coauthVersionLast="47" xr6:coauthVersionMax="47" xr10:uidLastSave="{CAAF1677-DBA0-4A2B-9691-A6B99EBAC6F9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32" i="1"/>
  <c r="B48" i="1"/>
  <c r="B16" i="1"/>
  <c r="B21" i="1"/>
  <c r="B11" i="1" l="1"/>
  <c r="B25" i="1"/>
  <c r="B3" i="1"/>
  <c r="B28" i="1"/>
  <c r="B24" i="1" l="1"/>
  <c r="B53" i="1"/>
  <c r="B52" i="1"/>
  <c r="B51" i="1"/>
  <c r="B50" i="1"/>
  <c r="B49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17" i="1"/>
  <c r="B15" i="1"/>
  <c r="B34" i="1"/>
  <c r="B33" i="1"/>
  <c r="B18" i="1"/>
  <c r="B29" i="1"/>
  <c r="B27" i="1"/>
  <c r="B26" i="1"/>
  <c r="B23" i="1"/>
  <c r="B30" i="1"/>
  <c r="B22" i="1"/>
  <c r="B20" i="1"/>
  <c r="B19" i="1"/>
  <c r="B14" i="1"/>
  <c r="B13" i="1"/>
  <c r="B31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<sst xmlns="http://schemas.openxmlformats.org/spreadsheetml/2006/main" count="1482" uniqueCount="568">
  <si>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</si>
  <si>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</si>
  <si>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</si>
  <si>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</si>
  <si>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</si>
  <si>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</si>
  <si>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</si>
  <si>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</si>
  <si>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</si>
  <si>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</si>
  <si>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</si>
  <si>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</si>
  <si>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</si>
  <si>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</si>
  <si>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</si>
  <si>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</si>
  <si>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</si>
  <si>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</si>
  <si>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</si>
  <si>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</si>
  <si>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</si>
  <si>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</si>
  <si>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</si>
  <si>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</si>
  <si>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</si>
  <si>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</si>
  <si>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</si>
  <si>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</si>
  <si>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</si>
  <si>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</si>
  <si>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</si>
  <si>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</si>
  <si>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</si>
  <si>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</si>
  <si>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</si>
  <si>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</si>
  <si>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</si>
  <si>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</si>
  <si>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</si>
  <si>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</si>
  <si>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</si>
  <si>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</si>
  <si>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</si>
  <si>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</si>
  <si>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</si>
  <si>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</si>
  <si>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</si>
  <si>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</si>
  <si>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</si>
  <si>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</si>
  <si>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</si>
  <si>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</si>
  <si>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</si>
  <si>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</si>
  <si>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</si>
  <si>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</si>
  <si>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</si>
  <si>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</si>
  <si>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</si>
  <si>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</si>
  <si>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</si>
  <si>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</si>
  <si>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</si>
  <si>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</si>
  <si>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</si>
  <si>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</si>
  <si>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</si>
  <si>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</si>
  <si>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</si>
  <si>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</si>
  <si>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</si>
  <si>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</si>
  <si>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</si>
  <si>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</si>
  <si>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</si>
  <si>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</si>
  <si>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</si>
  <si>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</si>
  <si>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</si>
  <si>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</si>
  <si>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</si>
  <si>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</si>
  <si>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</si>
  <si>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</si>
  <si>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</si>
  <si>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</si>
  <si>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</si>
  <si>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</si>
  <si>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</si>
  <si>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</si>
  <si>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</si>
  <si>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</si>
  <si>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</si>
  <si>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</si>
  <si>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</si>
  <si>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</si>
  <si>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</si>
  <si>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</si>
  <si>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</si>
  <si>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</si>
  <si>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</si>
  <si>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</si>
  <si>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</si>
  <si>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</si>
  <si>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</si>
  <si>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</si>
  <si>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</si>
  <si>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</si>
  <si>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</si>
  <si>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</si>
  <si>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</si>
  <si>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</si>
  <si>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</si>
  <si>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</si>
  <si>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</si>
  <si>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</si>
  <si>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</si>
  <si>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</si>
  <si>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</si>
  <si>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</si>
  <si>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</si>
  <si>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</si>
  <si>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</si>
  <si>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</si>
  <si>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</si>
  <si>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</si>
  <si>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</si>
  <si>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</si>
  <si>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</si>
  <si>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</si>
  <si>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</si>
  <si>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</si>
  <si>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</si>
  <si>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</si>
  <si>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</si>
  <si>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</si>
  <si>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</si>
  <si>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</si>
  <si>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</si>
  <si>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</si>
  <si>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</si>
  <si>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</si>
  <si>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</si>
  <si>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</si>
  <si>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</si>
  <si>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</si>
  <si>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</si>
  <si>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</si>
  <si>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</si>
  <si>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</si>
  <si>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</si>
  <si>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</si>
  <si>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</si>
  <si>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</si>
  <si>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</si>
  <si>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</si>
  <si>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</si>
  <si>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</si>
  <si>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</si>
  <si>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</si>
  <si>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</si>
  <si>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</si>
  <si>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</si>
  <si>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</si>
  <si>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</si>
  <si>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</si>
  <si>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</si>
  <si>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</si>
  <si>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</si>
  <si>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</si>
  <si>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</si>
  <si>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</si>
  <si>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</si>
  <si>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</si>
  <si>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</si>
  <si>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</si>
  <si>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</si>
  <si>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</si>
  <si>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</si>
  <si>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</si>
  <si>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</si>
  <si>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</si>
  <si>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</si>
  <si>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</si>
  <si>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</si>
  <si>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</si>
  <si>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</si>
  <si>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</si>
  <si>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</si>
  <si>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</si>
  <si>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</si>
  <si>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</si>
  <si>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</si>
  <si>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</si>
  <si>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</si>
  <si>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</si>
  <si>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</si>
  <si>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</si>
  <si>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</si>
  <si>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</si>
  <si>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</si>
  <si>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</si>
  <si>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</si>
  <si>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</si>
  <si>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</si>
  <si>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</si>
  <si>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</si>
  <si>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</si>
  <si>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</si>
  <si>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</si>
  <si>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</si>
  <si>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</si>
  <si>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</si>
  <si>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</si>
  <si>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</si>
  <si>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</si>
  <si>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</si>
  <si>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</si>
  <si>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</si>
  <si>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</si>
  <si>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</si>
  <si>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</si>
  <si>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</si>
  <si>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</si>
  <si>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</si>
  <si>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</si>
  <si>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</si>
  <si>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</si>
  <si>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</si>
  <si>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</si>
  <si>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</si>
  <si>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</si>
  <si>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</si>
  <si>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</si>
  <si>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</si>
  <si>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</si>
  <si>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</si>
  <si>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</si>
  <si>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</si>
  <si>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</si>
  <si>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</si>
  <si>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</si>
  <si>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</si>
  <si>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</si>
  <si>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</si>
  <si>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</si>
  <si>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</si>
  <si>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</si>
  <si>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</si>
  <si>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</si>
  <si>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</si>
  <si>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</si>
  <si>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</si>
  <si>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</si>
  <si>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</si>
  <si>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</si>
  <si>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</si>
  <si>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</si>
  <si>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</si>
  <si>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</si>
  <si>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</si>
  <si>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</si>
  <si>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</si>
  <si>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</si>
  <si>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</si>
  <si>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</si>
  <si>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</si>
  <si>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</si>
  <si>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</si>
  <si>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</si>
  <si>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</si>
  <si>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</si>
  <si>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</si>
  <si>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</si>
  <si>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</si>
  <si>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</si>
  <si>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</si>
  <si>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</si>
  <si>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</si>
  <si>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</si>
  <si>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</si>
  <si>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</si>
  <si>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</si>
  <si>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</si>
  <si>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</si>
  <si>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</si>
  <si>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</si>
  <si>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</si>
  <si>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</si>
  <si>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</si>
  <si>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</si>
  <si>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</si>
  <si>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</si>
  <si>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</si>
  <si>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</si>
  <si>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</si>
  <si>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</si>
  <si>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</si>
  <si>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</si>
  <si>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</si>
  <si>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</si>
  <si>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</si>
  <si>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</si>
  <si>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</si>
  <si>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</si>
  <si>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</si>
  <si>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</si>
  <si>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</si>
  <si>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</si>
  <si>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</si>
  <si>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</si>
  <si>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</si>
  <si>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</si>
  <si>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</si>
  <si>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</si>
  <si>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</si>
  <si>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</si>
  <si>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</si>
  <si>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</si>
  <si>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</si>
  <si>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</si>
  <si>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</si>
  <si>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</si>
  <si>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</si>
  <si>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</si>
  <si>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</si>
  <si>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</si>
  <si>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</si>
  <si>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</si>
  <si>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</si>
  <si>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</si>
  <si>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</si>
  <si>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</si>
  <si>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</si>
  <si>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</si>
  <si>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</si>
  <si>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</si>
  <si>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</si>
  <si>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</si>
  <si>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</si>
  <si>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</si>
  <si>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</si>
  <si>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</si>
  <si>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</si>
  <si>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</si>
  <si>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</si>
  <si>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</si>
  <si>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</si>
  <si>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</si>
  <si>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</si>
  <si>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</si>
  <si>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</si>
  <si>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</si>
  <si>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</si>
  <si>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</si>
  <si>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</si>
  <si>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</si>
  <si>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</si>
  <si>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</si>
  <si>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</si>
  <si>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</si>
  <si>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</si>
  <si>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</si>
  <si>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</si>
  <si>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</si>
  <si>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</si>
  <si>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</si>
  <si>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</si>
  <si>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</si>
  <si>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</si>
  <si>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</si>
  <si>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</si>
  <si>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</si>
  <si>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</si>
  <si>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</si>
  <si>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</si>
  <si>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</si>
  <si>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</si>
  <si>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</si>
  <si>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</si>
  <si>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</si>
  <si>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</si>
  <si>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</si>
  <si>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</si>
  <si>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</si>
  <si>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</si>
  <si>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</si>
  <si>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</si>
  <si>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</si>
  <si>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</si>
  <si>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</si>
  <si>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</si>
  <si>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</si>
  <si>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</si>
  <si>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</si>
  <si>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</si>
  <si>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</si>
  <si>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</si>
  <si>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</si>
  <si>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</si>
  <si>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</si>
  <si>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</si>
  <si>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</si>
  <si>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</si>
  <si>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</si>
  <si>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</si>
  <si>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</si>
  <si>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</si>
  <si>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</si>
  <si>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</si>
  <si>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</si>
  <si>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</si>
  <si>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</si>
  <si>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</si>
  <si>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</si>
  <si>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</si>
  <si>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</si>
  <si>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</si>
  <si>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</si>
  <si>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</si>
  <si>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</si>
  <si>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</si>
  <si>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</si>
  <si>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</si>
  <si>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</si>
  <si>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</si>
  <si>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</si>
  <si>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</si>
  <si>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</si>
  <si>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</si>
  <si>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</si>
  <si>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</si>
  <si>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</si>
  <si>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</si>
  <si>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</si>
  <si>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</si>
  <si>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</si>
  <si>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</si>
  <si>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</si>
  <si>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</si>
  <si>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</si>
  <si>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</si>
  <si>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</si>
  <si>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</si>
  <si>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</si>
  <si>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</si>
  <si>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</si>
  <si>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</si>
  <si>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</si>
  <si>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</si>
  <si>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</si>
  <si>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</si>
  <si>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</si>
  <si>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</si>
  <si>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</si>
  <si>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</si>
  <si>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</si>
  <si>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</si>
  <si>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</si>
  <si>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</si>
  <si>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</si>
  <si>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</si>
  <si>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</si>
  <si>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</si>
  <si>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</si>
  <si>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</si>
  <si>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</si>
  <si>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</si>
  <si>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</si>
  <si>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</si>
  <si>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</si>
  <si>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</si>
  <si>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</si>
  <si>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</si>
  <si>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</si>
  <si>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</si>
  <si>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</si>
  <si>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</si>
  <si>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</si>
  <si>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</si>
  <si>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</si>
  <si>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</si>
  <si>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</si>
  <si>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</si>
  <si>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</si>
  <si>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</si>
  <si>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</si>
  <si>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</si>
  <si>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</si>
  <si>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</si>
  <si>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</si>
  <si>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</si>
  <si>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</si>
  <si>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</si>
  <si>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</si>
  <si>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</si>
  <si>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</si>
  <si>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</si>
  <si>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</si>
  <si>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</si>
  <si>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</si>
  <si>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</si>
  <si>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</si>
  <si>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</si>
  <si>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</si>
  <si>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</si>
  <si>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</si>
  <si>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</si>
  <si>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</si>
  <si>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</si>
  <si>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</si>
  <si>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</si>
  <si>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</si>
  <si>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</si>
  <si>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</si>
  <si>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</si>
  <si>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</si>
  <si>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</si>
  <si>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</si>
  <si>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</si>
  <si>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</si>
  <si>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</si>
  <si>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</si>
  <si>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</si>
  <si>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</si>
  <si>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</si>
  <si>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</si>
  <si>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</si>
  <si>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</si>
  <si>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</si>
  <si>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</si>
  <si>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</si>
  <si>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</si>
  <si>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</si>
  <si>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</si>
  <si>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</si>
  <si>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</si>
  <si>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</si>
  <si>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</si>
  <si>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</si>
  <si>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</si>
  <si>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</si>
  <si>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</si>
  <si>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</si>
  <si>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</si>
  <si>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</si>
  <si>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</si>
  <si>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</si>
  <si>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</si>
  <si>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</si>
  <si>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</si>
  <si>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</si>
  <si>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</si>
  <si>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</si>
  <si>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</si>
  <si>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</si>
  <si>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</si>
  <si>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</si>
  <si>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</si>
  <si>
    <t>Máster de Formación Permanente en Marketing Digital, E-commerce e Inteligencia Artificial</t>
  </si>
  <si>
    <t>Máster en Transformación Digital</t>
  </si>
  <si>
    <t>Máster de Formación Permanente en Coaching, Liderazgo Directivo e Inteligencia Emocional</t>
  </si>
  <si>
    <t>Máster de Formación Permanente en Business Intelligence &amp; Data Analytics</t>
  </si>
  <si>
    <t>Lifelong Learning Master's Degree in Business Intelligence and Data Analytics</t>
  </si>
  <si>
    <t>Business Intelligence y Analytics (ENG)</t>
  </si>
  <si>
    <t>BI (ENG)</t>
  </si>
  <si>
    <t>Máster de Formación Permanente en Sostenibilidad, Liderazgo y RSC</t>
  </si>
  <si>
    <t>Máster de Formación Permanente en Transformación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</si>
</sst>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BI/OBS%20v2/0_TTAA/OBS_PROGRAMAS.xlsx" TargetMode="External"/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  <row r="359">
          <cell r="B359" t="str">
            <v>Máster de Dirección Permanente en Dirección y Automatización Industrial</v>
          </cell>
          <cell r="C359" t="str">
            <v>PROD</v>
          </cell>
        </row>
        <row r="360">
          <cell r="B360" t="str">
            <v>Máster de formación Permanente en Coaching directivo y liderazgo</v>
          </cell>
          <cell r="C360" t="str">
            <v>COACH</v>
          </cell>
        </row>
        <row r="361">
          <cell r="B361" t="str">
            <v>Máster de Formación permanente en Coaching diretivo y liderazgo</v>
          </cell>
          <cell r="C361" t="str">
            <v>COACH</v>
          </cell>
        </row>
        <row r="362">
          <cell r="B362" t="str">
            <v>Máster de Formación Permanente en Direcció de Marketing y Gestión Comercial</v>
          </cell>
          <cell r="C362" t="str">
            <v>MKT GC</v>
          </cell>
        </row>
        <row r="363">
          <cell r="B363" t="str">
            <v xml:space="preserve">Máster de Formación permanente en Marketing Digital, eCommerce e Inteligencia Artificial </v>
          </cell>
          <cell r="C363" t="str">
            <v>MKT EC</v>
          </cell>
        </row>
        <row r="364">
          <cell r="B364" t="str">
            <v>Máster de formación permanente en Project Management</v>
          </cell>
          <cell r="C364" t="str">
            <v>PM ESP</v>
          </cell>
        </row>
        <row r="365">
          <cell r="B365" t="str">
            <v>Máster de Formación Permanente en Supply Chain Management</v>
          </cell>
          <cell r="C365" t="str">
            <v>SUPPLY</v>
          </cell>
        </row>
        <row r="366">
          <cell r="B366" t="str">
            <v>Máster en  Ciberseguridad</v>
          </cell>
          <cell r="C366" t="str">
            <v>CIBER</v>
          </cell>
        </row>
        <row r="367">
          <cell r="B367" t="str">
            <v>Máster en Direccción de sistemas de la información</v>
          </cell>
          <cell r="C367" t="str">
            <v>SISTEM</v>
          </cell>
        </row>
        <row r="368">
          <cell r="B368" t="str">
            <v xml:space="preserve">Máster en Dirección de Comunicación </v>
          </cell>
          <cell r="C368" t="str">
            <v>COMUNIC</v>
          </cell>
        </row>
        <row r="369">
          <cell r="B369" t="str">
            <v>Máster en n Transformación Digital</v>
          </cell>
          <cell r="C369" t="str">
            <v>TR DIGI</v>
          </cell>
        </row>
        <row r="370">
          <cell r="B370" t="str">
            <v>Máster de Formación Permanente en Dirección de la Producción y Automatización Industrial -</v>
          </cell>
          <cell r="C370" t="str">
            <v>PROD</v>
          </cell>
        </row>
        <row r="371">
          <cell r="B371" t="str">
            <v xml:space="preserve">Máster en derecho internacional de la empresa </v>
          </cell>
          <cell r="C371" t="str">
            <v>DERECHO</v>
          </cell>
        </row>
        <row r="372">
          <cell r="B372" t="str">
            <v>Máster de Formación Permanente en Neuromarketing y comportamiento del consumidor</v>
          </cell>
          <cell r="C372" t="str">
            <v>NEURO MKT</v>
          </cell>
        </row>
        <row r="373">
          <cell r="B373" t="str">
            <v>Máster de Formación Permanente en Neuromarketing y Comportamiento del Consumidor</v>
          </cell>
          <cell r="C373" t="str">
            <v>NEURO MKT</v>
          </cell>
        </row>
        <row r="374">
          <cell r="B374" t="str">
            <v xml:space="preserve"> Máster de Formación Permanente en Neuromarketing y comportamiento del consumidor</v>
          </cell>
          <cell r="C374" t="str">
            <v>NEURO MKT</v>
          </cell>
        </row>
        <row r="375">
          <cell r="B375" t="str">
            <v xml:space="preserve">Máster de Formación Permanente en Neuromarketing y comportamiento del consumidor </v>
          </cell>
          <cell r="C375" t="str">
            <v>NEURO MKT</v>
          </cell>
        </row>
        <row r="376">
          <cell r="B376" t="str">
            <v>Lifelong Digital Marketing, E-Commerce and Artificial Intelligence</v>
          </cell>
          <cell r="C376" t="str">
            <v>MKT EC</v>
          </cell>
        </row>
        <row r="377">
          <cell r="B377" t="str">
            <v>Máster de Dirección Financiera</v>
          </cell>
          <cell r="C377" t="str">
            <v>FINANC</v>
          </cell>
        </row>
        <row r="378">
          <cell r="B378" t="str">
            <v>Máster de Formación Permanente en Branding y Estrategia de Marca -</v>
          </cell>
          <cell r="C378" t="str">
            <v>BRAND</v>
          </cell>
        </row>
        <row r="379">
          <cell r="B379" t="str">
            <v>Máster en Diección Estratégica de Operaciones e Innovación</v>
          </cell>
          <cell r="C379" t="str">
            <v>OPER</v>
          </cell>
        </row>
        <row r="380">
          <cell r="B380" t="str">
            <v>Máster en Fintech e innovación financiera</v>
          </cell>
          <cell r="C380" t="str">
            <v>FINTECH</v>
          </cell>
        </row>
        <row r="381">
          <cell r="B381" t="str">
            <v>Máster de Formación Permanente en Marketing Digital, E-commerce e Inteligencia Artificial</v>
          </cell>
          <cell r="C381" t="str">
            <v>MKT EC</v>
          </cell>
        </row>
        <row r="382">
          <cell r="B382" t="str">
            <v>Máster de Formación Permanente en  Customer Experience Management</v>
          </cell>
          <cell r="C382" t="str">
            <v>CX</v>
          </cell>
        </row>
        <row r="383">
          <cell r="B383" t="str">
            <v>Máster de Formación Permanente en Business Intelligence &amp; Data Analytics</v>
          </cell>
          <cell r="C383" t="str">
            <v>BI</v>
          </cell>
        </row>
        <row r="384">
          <cell r="B384" t="str">
            <v>Máster de Formación Permanente en Coaching, Liderazgo Directivo e Inteligencia Emocional</v>
          </cell>
          <cell r="C384" t="str">
            <v>COACH</v>
          </cell>
        </row>
        <row r="385">
          <cell r="B385" t="str">
            <v>Marketing Digital, eCommerce e
Inteligencia Artificial</v>
          </cell>
          <cell r="C385" t="str">
            <v>MKT EC</v>
          </cell>
        </row>
        <row r="386">
          <cell r="B386" t="str">
            <v>Máster de Formación Permanente en Responsabilidad Social Corporativa y Liderazgo Sostenibl</v>
          </cell>
          <cell r="C386" t="str">
            <v>RSC</v>
          </cell>
        </row>
        <row r="387">
          <cell r="B387" t="str">
            <v>Máster de Formación Permanente en Supply Chain Management y Logística -</v>
          </cell>
          <cell r="C387" t="str">
            <v>SUPPLY</v>
          </cell>
        </row>
        <row r="388">
          <cell r="B388" t="str">
            <v>Máster en Business Intelligence &amp; Data Analytics</v>
          </cell>
          <cell r="C388" t="str">
            <v>BI</v>
          </cell>
        </row>
        <row r="389">
          <cell r="B389" t="str">
            <v>Lifelong Learning Master's Degree in Business Intelligence  and Data Analytics</v>
          </cell>
          <cell r="C389" t="str">
            <v>BI ENG</v>
          </cell>
        </row>
        <row r="390">
          <cell r="B390" t="str">
            <v>Lifelong Learning Master's Degree in Business Intelligence and Data Analytics</v>
          </cell>
          <cell r="C390" t="str">
            <v>BI ENG</v>
          </cell>
        </row>
        <row r="391">
          <cell r="B391" t="str">
            <v>Lifelong Learning Master’s Degree in Machine Learning and Artificial Intelligence</v>
          </cell>
          <cell r="C391" t="str">
            <v>IA ENG</v>
          </cell>
        </row>
        <row r="392">
          <cell r="B392" t="str">
            <v>Máster de Formación Permanente en Sostenibilidad, Liderazgo y RSC</v>
          </cell>
          <cell r="C392" t="str">
            <v>RSC</v>
          </cell>
        </row>
        <row r="393">
          <cell r="B393" t="str">
            <v>Lifelong Learning Master's Degree in Human Resources and Talent Management</v>
          </cell>
          <cell r="C393" t="str">
            <v>RRHH ENG</v>
          </cell>
        </row>
        <row r="394">
          <cell r="B394" t="str">
            <v>Máster de Formación Permanente en Business Intelligence &amp; Data Analytics</v>
          </cell>
          <cell r="C394" t="str">
            <v>BI</v>
          </cell>
        </row>
        <row r="395">
          <cell r="B395" t="str">
            <v>Master in Business Intelligence and Analytics</v>
          </cell>
          <cell r="C395" t="str">
            <v>BI ENG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9" priority="37"/>
  </conditionalFormatting>
  <conditionalFormatting sqref="D357:D1048576 D1:D351">
    <cfRule type="duplicateValues" dxfId="48" priority="28"/>
  </conditionalFormatting>
  <conditionalFormatting sqref="P42">
    <cfRule type="duplicateValues" dxfId="47" priority="2"/>
  </conditionalFormatting>
  <conditionalFormatting sqref="P180">
    <cfRule type="duplicateValues" dxfId="46" priority="27"/>
  </conditionalFormatting>
  <conditionalFormatting sqref="P193:P194">
    <cfRule type="duplicateValues" dxfId="45" priority="18"/>
  </conditionalFormatting>
  <conditionalFormatting sqref="P196:P198">
    <cfRule type="duplicateValues" dxfId="44" priority="17"/>
  </conditionalFormatting>
  <conditionalFormatting sqref="P199">
    <cfRule type="duplicateValues" dxfId="43" priority="22"/>
  </conditionalFormatting>
  <conditionalFormatting sqref="P204">
    <cfRule type="duplicateValues" dxfId="42" priority="19"/>
  </conditionalFormatting>
  <conditionalFormatting sqref="P208">
    <cfRule type="duplicateValues" dxfId="41" priority="16"/>
  </conditionalFormatting>
  <conditionalFormatting sqref="P209">
    <cfRule type="duplicateValues" dxfId="40" priority="15"/>
  </conditionalFormatting>
  <conditionalFormatting sqref="P216 P195 P181:P184 P191:P192 P200:P203 P205:P207 P211:P212 P218:P1048576 P43:P68 P1:P11 P40 P73:P146 P13:P38 P70:P71 P148:P179">
    <cfRule type="duplicateValues" dxfId="39" priority="40"/>
  </conditionalFormatting>
  <conditionalFormatting sqref="P217">
    <cfRule type="duplicateValues" dxfId="38" priority="8"/>
  </conditionalFormatting>
  <conditionalFormatting sqref="P210:Q210">
    <cfRule type="duplicateValues" dxfId="37" priority="24"/>
  </conditionalFormatting>
  <conditionalFormatting sqref="Q46">
    <cfRule type="duplicateValues" dxfId="36" priority="1"/>
  </conditionalFormatting>
  <conditionalFormatting sqref="Q47">
    <cfRule type="duplicateValues" dxfId="35" priority="23"/>
  </conditionalFormatting>
  <conditionalFormatting sqref="Q117">
    <cfRule type="duplicateValues" dxfId="34" priority="12"/>
  </conditionalFormatting>
  <conditionalFormatting sqref="Q139">
    <cfRule type="duplicateValues" dxfId="33" priority="26"/>
  </conditionalFormatting>
  <conditionalFormatting sqref="Q176">
    <cfRule type="duplicateValues" dxfId="32" priority="25"/>
  </conditionalFormatting>
  <conditionalFormatting sqref="Q216:Q1048576 Q140:Q146 Q177:Q209 Q211:Q212 Q48:Q71 Q1:Q27 Q118:Q138 Q40 Q74:Q116 Q42:Q45 Q29:Q38 Q148:Q175">
    <cfRule type="duplicateValues" dxfId="31" priority="39"/>
  </conditionalFormatting>
  <conditionalFormatting sqref="R117">
    <cfRule type="duplicateValues" dxfId="30" priority="13"/>
  </conditionalFormatting>
  <conditionalFormatting sqref="R173">
    <cfRule type="duplicateValues" dxfId="29" priority="30"/>
  </conditionalFormatting>
  <conditionalFormatting sqref="R216:R1048576 R174:R212 R1:R38 R118:R146 R40 R73:R116 R42:R71 R148:R172">
    <cfRule type="duplicateValues" dxfId="28" priority="38"/>
  </conditionalFormatting>
  <conditionalFormatting sqref="S88:T88 S97:T97 S102:T102 S104:T104 S111:T111 S115:T115 S120:T120 S127:T127 S130:T130 S133:T133 S145:T145 S156:T157 S165:T165 S174:T174">
    <cfRule type="expression" dxfId="27" priority="29">
      <formula>$S88=0</formula>
    </cfRule>
  </conditionalFormatting>
  <conditionalFormatting sqref="X110">
    <cfRule type="duplicateValues" dxfId="26" priority="14"/>
  </conditionalFormatting>
  <conditionalFormatting sqref="AC1:AC1048576 AI19:AI1048576">
    <cfRule type="expression" dxfId="25" priority="34">
      <formula>$AD1="ko"</formula>
    </cfRule>
  </conditionalFormatting>
  <conditionalFormatting sqref="AD2:AD76 AA2:AA191">
    <cfRule type="cellIs" dxfId="24" priority="35" operator="equal">
      <formula>"ko"</formula>
    </cfRule>
    <cfRule type="cellIs" dxfId="23" priority="36" operator="equal">
      <formula>"ok"</formula>
    </cfRule>
  </conditionalFormatting>
  <conditionalFormatting sqref="AI1">
    <cfRule type="expression" dxfId="22" priority="33">
      <formula>$AD1="ko"</formula>
    </cfRule>
  </conditionalFormatting>
  <conditionalFormatting sqref="AJ2:AJ13">
    <cfRule type="cellIs" dxfId="21" priority="31" operator="equal">
      <formula>"ko"</formula>
    </cfRule>
    <cfRule type="cellIs" dxfId="20" priority="32" operator="equal">
      <formula>"ok"</formula>
    </cfRule>
  </conditionalFormatting>
  <conditionalFormatting sqref="AQ11:AQ21">
    <cfRule type="duplicateValues" dxfId="19" priority="41"/>
  </conditionalFormatting>
  <conditionalFormatting sqref="AV2:AV21 AV25:AV29">
    <cfRule type="cellIs" dxfId="18" priority="6" operator="equal">
      <formula>"Estudios primarios"</formula>
    </cfRule>
    <cfRule type="cellIs" dxfId="17" priority="7" operator="equal">
      <formula>"Estudios secundarios"</formula>
    </cfRule>
  </conditionalFormatting>
  <conditionalFormatting sqref="AW2:AW21 AW25:AW29">
    <cfRule type="cellIs" dxfId="16" priority="5" operator="lessThan">
      <formula>21</formula>
    </cfRule>
  </conditionalFormatting>
  <conditionalFormatting sqref="AY2:AY21">
    <cfRule type="cellIs" dxfId="15" priority="4" operator="equal">
      <formula>"NOT VALID"</formula>
    </cfRule>
  </conditionalFormatting>
  <conditionalFormatting sqref="AY25:AY29">
    <cfRule type="cellIs" dxfId="14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13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55"/>
  <sheetViews>
    <sheetView tabSelected="1" workbookViewId="0">
      <selection activeCell="F11" sqref="F11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9" t="s">
        <v>10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9" t="s">
        <v>10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14" t="s">
        <v>87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14" t="s">
        <v>87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560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t="s">
        <v>567</v>
      </c>
      <c r="B12" s="7" t="str">
        <f>VLOOKUP(A12,'[1]NORMALIZACION PROGRAMAS'!$B:$C,2,0)</f>
        <v>TR DIGI</v>
      </c>
      <c r="C12" s="8" t="s">
        <v>8</v>
      </c>
      <c r="D12" s="8" t="s">
        <v>9</v>
      </c>
      <c r="E12" s="9" t="s">
        <v>10</v>
      </c>
      <c r="F12" s="10" t="s">
        <v>47</v>
      </c>
      <c r="G12" s="11" t="s">
        <v>48</v>
      </c>
      <c r="H12" s="10" t="s">
        <v>49</v>
      </c>
    </row>
    <row r="13" spans="1:8" x14ac:dyDescent="0.25">
      <c r="A13" s="12" t="s">
        <v>46</v>
      </c>
      <c r="B13" s="7" t="str">
        <f>VLOOKUP(A13,'[1]NORMALIZACION PROGRAMAS'!$B:$C,2,0)</f>
        <v>TR DIGI</v>
      </c>
      <c r="C13" s="8" t="s">
        <v>8</v>
      </c>
      <c r="D13" s="8" t="s">
        <v>9</v>
      </c>
      <c r="E13" s="9" t="s">
        <v>10</v>
      </c>
      <c r="F13" s="10" t="s">
        <v>47</v>
      </c>
      <c r="G13" s="11" t="s">
        <v>48</v>
      </c>
      <c r="H13" s="10" t="s">
        <v>49</v>
      </c>
    </row>
    <row r="14" spans="1:8" x14ac:dyDescent="0.25">
      <c r="A14" s="12" t="s">
        <v>50</v>
      </c>
      <c r="B14" s="7" t="str">
        <f>VLOOKUP(A14,'[1]NORMALIZACION PROGRAMAS'!$B:$C,2,0)</f>
        <v>OPER</v>
      </c>
      <c r="C14" s="8" t="s">
        <v>8</v>
      </c>
      <c r="D14" s="8" t="s">
        <v>9</v>
      </c>
      <c r="E14" s="9" t="s">
        <v>10</v>
      </c>
      <c r="F14" s="10" t="s">
        <v>51</v>
      </c>
      <c r="G14" s="11" t="s">
        <v>52</v>
      </c>
      <c r="H14" s="10" t="s">
        <v>53</v>
      </c>
    </row>
    <row r="15" spans="1:8" x14ac:dyDescent="0.25">
      <c r="A15" s="12" t="s">
        <v>98</v>
      </c>
      <c r="B15" s="7" t="str">
        <f>VLOOKUP(A15,'[1]NORMALIZACION PROGRAMAS'!$B:$C,2,0)</f>
        <v>BI</v>
      </c>
      <c r="C15" s="8" t="s">
        <v>8</v>
      </c>
      <c r="D15" s="8" t="s">
        <v>9</v>
      </c>
      <c r="E15" s="9" t="s">
        <v>10</v>
      </c>
      <c r="F15" s="10" t="s">
        <v>99</v>
      </c>
      <c r="G15" s="11" t="s">
        <v>100</v>
      </c>
      <c r="H15" s="10" t="s">
        <v>100</v>
      </c>
    </row>
    <row r="16" spans="1:8" x14ac:dyDescent="0.25">
      <c r="A16" t="s">
        <v>562</v>
      </c>
      <c r="B16" s="7" t="str">
        <f>VLOOKUP(A16,'[1]NORMALIZACION PROGRAMAS'!$B:$C,2,0)</f>
        <v>BI</v>
      </c>
      <c r="C16" s="8" t="s">
        <v>8</v>
      </c>
      <c r="D16" s="8" t="s">
        <v>9</v>
      </c>
      <c r="E16" s="9" t="s">
        <v>10</v>
      </c>
      <c r="F16" s="10" t="s">
        <v>99</v>
      </c>
      <c r="G16" s="11" t="s">
        <v>100</v>
      </c>
      <c r="H16" s="10" t="s">
        <v>100</v>
      </c>
    </row>
    <row r="17" spans="1:8" x14ac:dyDescent="0.25">
      <c r="A17" s="6" t="s">
        <v>101</v>
      </c>
      <c r="B17" s="7" t="str">
        <f>VLOOKUP(A17,'[1]NORMALIZACION PROGRAMAS'!$B:$C,2,0)</f>
        <v>BI</v>
      </c>
      <c r="C17" s="8" t="s">
        <v>8</v>
      </c>
      <c r="D17" s="8" t="s">
        <v>9</v>
      </c>
      <c r="E17" s="9" t="s">
        <v>10</v>
      </c>
      <c r="F17" s="10" t="s">
        <v>99</v>
      </c>
      <c r="G17" s="11" t="s">
        <v>100</v>
      </c>
      <c r="H17" s="10" t="s">
        <v>100</v>
      </c>
    </row>
    <row r="18" spans="1:8" x14ac:dyDescent="0.25">
      <c r="A18" s="12" t="s">
        <v>86</v>
      </c>
      <c r="B18" s="7" t="str">
        <f>VLOOKUP(A18,'[1]NORMALIZACION PROGRAMAS'!$B:$C,2,0)</f>
        <v>PROD</v>
      </c>
      <c r="C18" s="8" t="s">
        <v>8</v>
      </c>
      <c r="D18" s="8" t="s">
        <v>9</v>
      </c>
      <c r="E18" s="9" t="s">
        <v>10</v>
      </c>
      <c r="F18" s="10" t="s">
        <v>88</v>
      </c>
      <c r="G18" s="11" t="s">
        <v>89</v>
      </c>
      <c r="H18" s="10" t="s">
        <v>90</v>
      </c>
    </row>
    <row r="19" spans="1:8" x14ac:dyDescent="0.25">
      <c r="A19" s="12" t="s">
        <v>54</v>
      </c>
      <c r="B19" s="7" t="str">
        <f>VLOOKUP(A19,'[1]NORMALIZACION PROGRAMAS'!$B:$C,2,0)</f>
        <v>BRAND</v>
      </c>
      <c r="C19" s="8" t="s">
        <v>8</v>
      </c>
      <c r="D19" s="8" t="s">
        <v>9</v>
      </c>
      <c r="E19" s="13" t="s">
        <v>55</v>
      </c>
      <c r="F19" s="10" t="s">
        <v>56</v>
      </c>
      <c r="G19" s="11" t="s">
        <v>57</v>
      </c>
      <c r="H19" s="10" t="s">
        <v>58</v>
      </c>
    </row>
    <row r="20" spans="1:8" x14ac:dyDescent="0.25">
      <c r="A20" s="12" t="s">
        <v>59</v>
      </c>
      <c r="B20" s="7" t="str">
        <f>VLOOKUP(A20,'[1]NORMALIZACION PROGRAMAS'!$B:$C,2,0)</f>
        <v>COACH</v>
      </c>
      <c r="C20" s="8" t="s">
        <v>8</v>
      </c>
      <c r="D20" s="8" t="s">
        <v>9</v>
      </c>
      <c r="E20" s="13" t="s">
        <v>55</v>
      </c>
      <c r="F20" s="10" t="s">
        <v>60</v>
      </c>
      <c r="G20" s="11" t="s">
        <v>61</v>
      </c>
      <c r="H20" s="10" t="s">
        <v>62</v>
      </c>
    </row>
    <row r="21" spans="1:8" x14ac:dyDescent="0.25">
      <c r="A21" s="93" t="s">
        <v>561</v>
      </c>
      <c r="B21" s="7" t="str">
        <f>VLOOKUP(A21,'[1]NORMALIZACION PROGRAMAS'!$B:$C,2,0)</f>
        <v>COACH</v>
      </c>
      <c r="C21" s="8" t="s">
        <v>8</v>
      </c>
      <c r="D21" s="8" t="s">
        <v>9</v>
      </c>
      <c r="E21" s="13" t="s">
        <v>55</v>
      </c>
      <c r="F21" s="10" t="s">
        <v>60</v>
      </c>
      <c r="G21" s="11" t="s">
        <v>61</v>
      </c>
      <c r="H21" s="10" t="s">
        <v>62</v>
      </c>
    </row>
    <row r="22" spans="1:8" x14ac:dyDescent="0.25">
      <c r="A22" s="12" t="s">
        <v>63</v>
      </c>
      <c r="B22" s="7" t="str">
        <f>VLOOKUP(A22,'[1]NORMALIZACION PROGRAMAS'!$B:$C,2,0)</f>
        <v>CX</v>
      </c>
      <c r="C22" s="8" t="s">
        <v>8</v>
      </c>
      <c r="D22" s="8" t="s">
        <v>9</v>
      </c>
      <c r="E22" s="14" t="s">
        <v>87</v>
      </c>
      <c r="F22" s="10" t="s">
        <v>64</v>
      </c>
      <c r="G22" s="11" t="s">
        <v>65</v>
      </c>
      <c r="H22" s="10" t="s">
        <v>65</v>
      </c>
    </row>
    <row r="23" spans="1:8" x14ac:dyDescent="0.25">
      <c r="A23" s="12" t="s">
        <v>70</v>
      </c>
      <c r="B23" s="7" t="str">
        <f>VLOOKUP(A23,'[1]NORMALIZACION PROGRAMAS'!$B:$C,2,0)</f>
        <v>MKT GC</v>
      </c>
      <c r="C23" s="8" t="s">
        <v>8</v>
      </c>
      <c r="D23" s="8" t="s">
        <v>9</v>
      </c>
      <c r="E23" s="13" t="s">
        <v>55</v>
      </c>
      <c r="F23" s="10" t="s">
        <v>71</v>
      </c>
      <c r="G23" s="11" t="s">
        <v>72</v>
      </c>
      <c r="H23" s="10" t="s">
        <v>73</v>
      </c>
    </row>
    <row r="24" spans="1:8" x14ac:dyDescent="0.25">
      <c r="A24" s="93" t="s">
        <v>550</v>
      </c>
      <c r="B24" s="7" t="str">
        <f>VLOOKUP(A24,'[1]NORMALIZACION PROGRAMAS'!$B:$C,2,0)</f>
        <v>MKT EC</v>
      </c>
      <c r="C24" s="8" t="s">
        <v>8</v>
      </c>
      <c r="D24" s="8" t="s">
        <v>9</v>
      </c>
      <c r="E24" s="13" t="s">
        <v>55</v>
      </c>
      <c r="F24" s="10" t="s">
        <v>75</v>
      </c>
      <c r="G24" s="11" t="s">
        <v>76</v>
      </c>
      <c r="H24" s="10" t="s">
        <v>77</v>
      </c>
    </row>
    <row r="25" spans="1:8" x14ac:dyDescent="0.25">
      <c r="A25" t="s">
        <v>559</v>
      </c>
      <c r="B25" s="7" t="str">
        <f>VLOOKUP(A25,'[1]NORMALIZACION PROGRAMAS'!$B:$C,2,0)</f>
        <v>MKT EC</v>
      </c>
      <c r="C25" s="8" t="s">
        <v>8</v>
      </c>
      <c r="D25" s="8" t="s">
        <v>9</v>
      </c>
      <c r="E25" s="13" t="s">
        <v>55</v>
      </c>
      <c r="F25" s="10" t="s">
        <v>75</v>
      </c>
      <c r="G25" s="11" t="s">
        <v>76</v>
      </c>
      <c r="H25" s="10" t="s">
        <v>77</v>
      </c>
    </row>
    <row r="26" spans="1:8" x14ac:dyDescent="0.25">
      <c r="A26" s="12" t="s">
        <v>74</v>
      </c>
      <c r="B26" s="7" t="str">
        <f>VLOOKUP(A26,'[1]NORMALIZACION PROGRAMAS'!$B:$C,2,0)</f>
        <v>MKT EC</v>
      </c>
      <c r="C26" s="8" t="s">
        <v>8</v>
      </c>
      <c r="D26" s="8" t="s">
        <v>9</v>
      </c>
      <c r="E26" s="13" t="s">
        <v>55</v>
      </c>
      <c r="F26" s="10" t="s">
        <v>75</v>
      </c>
      <c r="G26" s="11" t="s">
        <v>76</v>
      </c>
      <c r="H26" s="10" t="s">
        <v>77</v>
      </c>
    </row>
    <row r="27" spans="1:8" x14ac:dyDescent="0.25">
      <c r="A27" s="12" t="s">
        <v>78</v>
      </c>
      <c r="B27" s="7" t="str">
        <f>VLOOKUP(A27,'[1]NORMALIZACION PROGRAMAS'!$B:$C,2,0)</f>
        <v>NEURO MKT</v>
      </c>
      <c r="C27" s="8" t="s">
        <v>8</v>
      </c>
      <c r="D27" s="8" t="s">
        <v>9</v>
      </c>
      <c r="E27" s="13" t="s">
        <v>55</v>
      </c>
      <c r="F27" s="10" t="s">
        <v>79</v>
      </c>
      <c r="G27" s="11" t="s">
        <v>80</v>
      </c>
      <c r="H27" s="10" t="s">
        <v>81</v>
      </c>
    </row>
    <row r="28" spans="1:8" x14ac:dyDescent="0.25">
      <c r="A28" s="12" t="s">
        <v>551</v>
      </c>
      <c r="B28" s="7" t="str">
        <f>VLOOKUP(A28,'[1]NORMALIZACION PROGRAMAS'!$B:$C,2,0)</f>
        <v>DERECHO DIG.</v>
      </c>
      <c r="C28" s="8" t="s">
        <v>8</v>
      </c>
      <c r="D28" s="8" t="s">
        <v>9</v>
      </c>
      <c r="E28" s="13" t="s">
        <v>55</v>
      </c>
      <c r="F28" s="10" t="s">
        <v>552</v>
      </c>
      <c r="G28" s="11" t="s">
        <v>553</v>
      </c>
      <c r="H28" s="10" t="s">
        <v>554</v>
      </c>
    </row>
    <row r="29" spans="1:8" x14ac:dyDescent="0.25">
      <c r="A29" s="12" t="s">
        <v>82</v>
      </c>
      <c r="B29" s="7" t="str">
        <f>VLOOKUP(A29,'[1]NORMALIZACION PROGRAMAS'!$B:$C,2,0)</f>
        <v>VENTAS</v>
      </c>
      <c r="C29" s="8" t="s">
        <v>8</v>
      </c>
      <c r="D29" s="8" t="s">
        <v>9</v>
      </c>
      <c r="E29" s="13" t="s">
        <v>55</v>
      </c>
      <c r="F29" s="10" t="s">
        <v>83</v>
      </c>
      <c r="G29" s="11" t="s">
        <v>84</v>
      </c>
      <c r="H29" s="10" t="s">
        <v>85</v>
      </c>
    </row>
    <row r="30" spans="1:8" x14ac:dyDescent="0.25">
      <c r="A30" s="12" t="s">
        <v>66</v>
      </c>
      <c r="B30" s="7" t="str">
        <f>VLOOKUP(A30,'[1]NORMALIZACION PROGRAMAS'!$B:$C,2,0)</f>
        <v>DERECHO</v>
      </c>
      <c r="C30" s="8" t="s">
        <v>8</v>
      </c>
      <c r="D30" s="8" t="s">
        <v>9</v>
      </c>
      <c r="E30" s="14" t="s">
        <v>87</v>
      </c>
      <c r="F30" s="10" t="s">
        <v>67</v>
      </c>
      <c r="G30" s="11" t="s">
        <v>68</v>
      </c>
      <c r="H30" s="10" t="s">
        <v>69</v>
      </c>
    </row>
    <row r="31" spans="1:8" x14ac:dyDescent="0.25">
      <c r="A31" s="12" t="s">
        <v>42</v>
      </c>
      <c r="B31" s="7" t="str">
        <f>VLOOKUP(A31,'[1]NORMALIZACION PROGRAMAS'!$B:$C,2,0)</f>
        <v>SALUD</v>
      </c>
      <c r="C31" s="8" t="s">
        <v>8</v>
      </c>
      <c r="D31" s="8" t="s">
        <v>9</v>
      </c>
      <c r="E31" s="14" t="s">
        <v>87</v>
      </c>
      <c r="F31" s="10" t="s">
        <v>43</v>
      </c>
      <c r="G31" s="11" t="s">
        <v>44</v>
      </c>
      <c r="H31" s="10" t="s">
        <v>45</v>
      </c>
    </row>
    <row r="32" spans="1:8" x14ac:dyDescent="0.25">
      <c r="A32" s="12" t="s">
        <v>566</v>
      </c>
      <c r="B32" s="7" t="str">
        <f>VLOOKUP(A32,'[1]NORMALIZACION PROGRAMAS'!$B:$C,2,0)</f>
        <v>RSC</v>
      </c>
      <c r="C32" s="8" t="s">
        <v>8</v>
      </c>
      <c r="D32" s="8" t="s">
        <v>9</v>
      </c>
      <c r="E32" s="9" t="s">
        <v>10</v>
      </c>
      <c r="F32" s="10" t="s">
        <v>92</v>
      </c>
      <c r="G32" s="11" t="s">
        <v>93</v>
      </c>
      <c r="H32" s="10" t="s">
        <v>93</v>
      </c>
    </row>
    <row r="33" spans="1:8" x14ac:dyDescent="0.25">
      <c r="A33" s="12" t="s">
        <v>91</v>
      </c>
      <c r="B33" s="7" t="str">
        <f>VLOOKUP(A33,'[1]NORMALIZACION PROGRAMAS'!$B:$C,2,0)</f>
        <v>RSC</v>
      </c>
      <c r="C33" s="8" t="s">
        <v>8</v>
      </c>
      <c r="D33" s="8" t="s">
        <v>9</v>
      </c>
      <c r="E33" s="9" t="s">
        <v>10</v>
      </c>
      <c r="F33" s="10" t="s">
        <v>92</v>
      </c>
      <c r="G33" s="11" t="s">
        <v>93</v>
      </c>
      <c r="H33" s="10" t="s">
        <v>93</v>
      </c>
    </row>
    <row r="34" spans="1:8" x14ac:dyDescent="0.25">
      <c r="A34" s="12" t="s">
        <v>94</v>
      </c>
      <c r="B34" s="7" t="str">
        <f>VLOOKUP(A34,'[1]NORMALIZACION PROGRAMAS'!$B:$C,2,0)</f>
        <v>SOSTEN</v>
      </c>
      <c r="C34" s="8" t="s">
        <v>8</v>
      </c>
      <c r="D34" s="8" t="s">
        <v>9</v>
      </c>
      <c r="E34" s="14" t="s">
        <v>87</v>
      </c>
      <c r="F34" s="10" t="s">
        <v>95</v>
      </c>
      <c r="G34" s="11" t="s">
        <v>96</v>
      </c>
      <c r="H34" s="10" t="s">
        <v>97</v>
      </c>
    </row>
    <row r="35" spans="1:8" x14ac:dyDescent="0.25">
      <c r="A35" s="12" t="s">
        <v>102</v>
      </c>
      <c r="B35" s="7" t="str">
        <f>VLOOKUP(A35,'[1]NORMALIZACION PROGRAMAS'!$B:$C,2,0)</f>
        <v>CIBER</v>
      </c>
      <c r="C35" s="8" t="s">
        <v>8</v>
      </c>
      <c r="D35" s="8" t="s">
        <v>9</v>
      </c>
      <c r="E35" s="14" t="s">
        <v>87</v>
      </c>
      <c r="F35" s="10" t="s">
        <v>103</v>
      </c>
      <c r="G35" s="11" t="s">
        <v>103</v>
      </c>
      <c r="H35" s="10" t="s">
        <v>104</v>
      </c>
    </row>
    <row r="36" spans="1:8" x14ac:dyDescent="0.25">
      <c r="A36" s="12" t="s">
        <v>105</v>
      </c>
      <c r="B36" s="7" t="str">
        <f>VLOOKUP(A36,'[1]NORMALIZACION PROGRAMAS'!$B:$C,2,0)</f>
        <v>GDATA</v>
      </c>
      <c r="C36" s="8" t="s">
        <v>8</v>
      </c>
      <c r="D36" s="8" t="s">
        <v>9</v>
      </c>
      <c r="E36" s="14" t="s">
        <v>87</v>
      </c>
      <c r="F36" s="10" t="s">
        <v>106</v>
      </c>
      <c r="G36" s="11" t="s">
        <v>107</v>
      </c>
      <c r="H36" s="10" t="s">
        <v>108</v>
      </c>
    </row>
    <row r="37" spans="1:8" x14ac:dyDescent="0.25">
      <c r="A37" s="12" t="s">
        <v>109</v>
      </c>
      <c r="B37" s="7" t="str">
        <f>VLOOKUP(A37,'[1]NORMALIZACION PROGRAMAS'!$B:$C,2,0)</f>
        <v>IA</v>
      </c>
      <c r="C37" s="8" t="s">
        <v>8</v>
      </c>
      <c r="D37" s="8" t="s">
        <v>9</v>
      </c>
      <c r="E37" s="14" t="s">
        <v>87</v>
      </c>
      <c r="F37" s="10" t="s">
        <v>110</v>
      </c>
      <c r="G37" s="11" t="s">
        <v>111</v>
      </c>
      <c r="H37" s="10" t="s">
        <v>111</v>
      </c>
    </row>
    <row r="38" spans="1:8" x14ac:dyDescent="0.25">
      <c r="A38" s="12" t="s">
        <v>112</v>
      </c>
      <c r="B38" s="7" t="str">
        <f>VLOOKUP(A38,'[1]NORMALIZACION PROGRAMAS'!$B:$C,2,0)</f>
        <v>PM ESP</v>
      </c>
      <c r="C38" s="8" t="s">
        <v>8</v>
      </c>
      <c r="D38" s="8" t="s">
        <v>9</v>
      </c>
      <c r="E38" s="14" t="s">
        <v>87</v>
      </c>
      <c r="F38" s="10" t="s">
        <v>113</v>
      </c>
      <c r="G38" s="11" t="s">
        <v>114</v>
      </c>
      <c r="H38" s="10" t="s">
        <v>115</v>
      </c>
    </row>
    <row r="39" spans="1:8" x14ac:dyDescent="0.25">
      <c r="A39" s="12" t="s">
        <v>116</v>
      </c>
      <c r="B39" s="7" t="str">
        <f>VLOOKUP(A39,'[1]NORMALIZACION PROGRAMAS'!$B:$C,2,0)</f>
        <v>SISTEM</v>
      </c>
      <c r="C39" s="8" t="s">
        <v>8</v>
      </c>
      <c r="D39" s="8" t="s">
        <v>9</v>
      </c>
      <c r="E39" s="14" t="s">
        <v>87</v>
      </c>
      <c r="F39" s="10" t="s">
        <v>117</v>
      </c>
      <c r="G39" s="11" t="s">
        <v>118</v>
      </c>
      <c r="H39" s="10" t="s">
        <v>119</v>
      </c>
    </row>
    <row r="40" spans="1:8" x14ac:dyDescent="0.25">
      <c r="A40" s="15" t="s">
        <v>120</v>
      </c>
      <c r="B40" s="7" t="str">
        <f>VLOOKUP(A40,'[1]NORMALIZACION PROGRAMAS'!$B:$C,2,0)</f>
        <v>FULL</v>
      </c>
      <c r="C40" s="8" t="s">
        <v>8</v>
      </c>
      <c r="D40" s="8" t="s">
        <v>9</v>
      </c>
      <c r="E40" s="14" t="s">
        <v>87</v>
      </c>
      <c r="F40" s="10" t="s">
        <v>121</v>
      </c>
      <c r="G40" s="11" t="s">
        <v>122</v>
      </c>
      <c r="H40" s="10" t="s">
        <v>123</v>
      </c>
    </row>
    <row r="41" spans="1:8" x14ac:dyDescent="0.25">
      <c r="A41" s="12" t="s">
        <v>124</v>
      </c>
      <c r="B41" s="7" t="str">
        <f>VLOOKUP(A41,'[1]NORMALIZACION PROGRAMAS'!$B:$C,2,0)</f>
        <v>FULL</v>
      </c>
      <c r="C41" s="8" t="s">
        <v>8</v>
      </c>
      <c r="D41" s="8" t="s">
        <v>9</v>
      </c>
      <c r="E41" s="14" t="s">
        <v>87</v>
      </c>
      <c r="F41" s="10" t="s">
        <v>121</v>
      </c>
      <c r="G41" s="11" t="s">
        <v>122</v>
      </c>
      <c r="H41" s="10" t="s">
        <v>123</v>
      </c>
    </row>
    <row r="42" spans="1:8" x14ac:dyDescent="0.25">
      <c r="A42" s="15" t="s">
        <v>125</v>
      </c>
      <c r="B42" s="7" t="str">
        <f>VLOOKUP(A42,'[1]NORMALIZACION PROGRAMAS'!$B:$C,2,0)</f>
        <v>DEVOPS</v>
      </c>
      <c r="C42" s="8" t="s">
        <v>8</v>
      </c>
      <c r="D42" s="8" t="s">
        <v>9</v>
      </c>
      <c r="E42" s="14" t="s">
        <v>87</v>
      </c>
      <c r="F42" s="10" t="s">
        <v>126</v>
      </c>
      <c r="G42" s="11" t="s">
        <v>127</v>
      </c>
      <c r="H42" s="10" t="s">
        <v>128</v>
      </c>
    </row>
    <row r="43" spans="1:8" x14ac:dyDescent="0.25">
      <c r="A43" s="15" t="s">
        <v>129</v>
      </c>
      <c r="B43" s="7" t="str">
        <f>VLOOKUP(A43,'[1]NORMALIZACION PROGRAMAS'!$B:$C,2,0)</f>
        <v>BIG DATA</v>
      </c>
      <c r="C43" s="8" t="s">
        <v>8</v>
      </c>
      <c r="D43" s="8" t="s">
        <v>9</v>
      </c>
      <c r="E43" s="14" t="s">
        <v>87</v>
      </c>
      <c r="F43" s="10" t="s">
        <v>130</v>
      </c>
      <c r="G43" s="11" t="s">
        <v>131</v>
      </c>
      <c r="H43" s="10" t="s">
        <v>132</v>
      </c>
    </row>
    <row r="44" spans="1:8" x14ac:dyDescent="0.25">
      <c r="A44" s="12" t="s">
        <v>133</v>
      </c>
      <c r="B44" s="7" t="str">
        <f>VLOOKUP(A44,'[1]NORMALIZACION PROGRAMAS'!$B:$C,2,0)</f>
        <v>IBM ENG</v>
      </c>
      <c r="C44" s="8" t="s">
        <v>8</v>
      </c>
      <c r="D44" s="8" t="s">
        <v>134</v>
      </c>
      <c r="E44" s="16" t="s">
        <v>135</v>
      </c>
      <c r="F44" s="10" t="s">
        <v>136</v>
      </c>
      <c r="G44" s="11" t="s">
        <v>137</v>
      </c>
      <c r="H44" s="10" t="s">
        <v>137</v>
      </c>
    </row>
    <row r="45" spans="1:8" x14ac:dyDescent="0.25">
      <c r="A45" s="12" t="s">
        <v>138</v>
      </c>
      <c r="B45" s="7" t="str">
        <f>VLOOKUP(A45,'[1]NORMALIZACION PROGRAMAS'!$B:$C,2,0)</f>
        <v>EMBA ENG</v>
      </c>
      <c r="C45" s="8" t="s">
        <v>139</v>
      </c>
      <c r="D45" s="8" t="s">
        <v>134</v>
      </c>
      <c r="E45" s="16" t="s">
        <v>135</v>
      </c>
      <c r="F45" s="10" t="s">
        <v>140</v>
      </c>
      <c r="G45" s="11" t="s">
        <v>140</v>
      </c>
      <c r="H45" s="10" t="s">
        <v>141</v>
      </c>
    </row>
    <row r="46" spans="1:8" x14ac:dyDescent="0.25">
      <c r="A46" s="17" t="s">
        <v>142</v>
      </c>
      <c r="B46" s="7" t="str">
        <f>VLOOKUP(A46,'[1]NORMALIZACION PROGRAMAS'!$B:$C,2,0)</f>
        <v>RSC ENG</v>
      </c>
      <c r="C46" s="8" t="s">
        <v>139</v>
      </c>
      <c r="D46" s="8" t="s">
        <v>134</v>
      </c>
      <c r="E46" s="16" t="s">
        <v>135</v>
      </c>
      <c r="F46" s="10" t="s">
        <v>143</v>
      </c>
      <c r="G46" s="11" t="s">
        <v>144</v>
      </c>
      <c r="H46" s="11" t="s">
        <v>144</v>
      </c>
    </row>
    <row r="47" spans="1:8" x14ac:dyDescent="0.25">
      <c r="A47" s="12" t="s">
        <v>145</v>
      </c>
      <c r="B47" s="7" t="str">
        <f>VLOOKUP(A47,'[1]NORMALIZACION PROGRAMAS'!$B:$C,2,0)</f>
        <v>PM ENG</v>
      </c>
      <c r="C47" s="8" t="s">
        <v>8</v>
      </c>
      <c r="D47" s="8" t="s">
        <v>134</v>
      </c>
      <c r="E47" s="16" t="s">
        <v>135</v>
      </c>
      <c r="F47" s="10" t="s">
        <v>146</v>
      </c>
      <c r="G47" s="11" t="s">
        <v>147</v>
      </c>
      <c r="H47" s="10" t="s">
        <v>148</v>
      </c>
    </row>
    <row r="48" spans="1:8" x14ac:dyDescent="0.25">
      <c r="A48" s="25" t="s">
        <v>563</v>
      </c>
      <c r="B48" s="7" t="str">
        <f>VLOOKUP(A48,'[1]NORMALIZACION PROGRAMAS'!$B:$C,2,0)</f>
        <v>BI ENG</v>
      </c>
      <c r="C48" s="8" t="s">
        <v>8</v>
      </c>
      <c r="D48" s="8" t="s">
        <v>134</v>
      </c>
      <c r="E48" s="16" t="s">
        <v>135</v>
      </c>
      <c r="F48" s="10" t="s">
        <v>564</v>
      </c>
      <c r="G48" s="11" t="s">
        <v>565</v>
      </c>
      <c r="H48" s="11" t="s">
        <v>565</v>
      </c>
    </row>
    <row r="49" spans="1:8" ht="15.75" customHeight="1" x14ac:dyDescent="0.25">
      <c r="A49" s="18" t="s">
        <v>149</v>
      </c>
      <c r="B49" s="7" t="str">
        <f>VLOOKUP(A49,'[1]NORMALIZACION PROGRAMAS'!$B:$C,2,0)</f>
        <v>MKT EC ENG</v>
      </c>
      <c r="C49" s="8" t="s">
        <v>8</v>
      </c>
      <c r="D49" s="8" t="s">
        <v>134</v>
      </c>
      <c r="E49" s="16" t="s">
        <v>135</v>
      </c>
      <c r="F49" s="10" t="s">
        <v>150</v>
      </c>
      <c r="G49" s="11" t="s">
        <v>151</v>
      </c>
      <c r="H49" s="11" t="s">
        <v>151</v>
      </c>
    </row>
    <row r="50" spans="1:8" x14ac:dyDescent="0.25">
      <c r="A50" s="15" t="s">
        <v>152</v>
      </c>
      <c r="B50" s="7" t="str">
        <f>VLOOKUP(A50,'[1]NORMALIZACION PROGRAMAS'!$B:$C,2,0)</f>
        <v>SUPPLY ENG</v>
      </c>
      <c r="C50" s="8" t="s">
        <v>8</v>
      </c>
      <c r="D50" s="8" t="s">
        <v>134</v>
      </c>
      <c r="E50" s="16" t="s">
        <v>135</v>
      </c>
      <c r="F50" s="10" t="s">
        <v>153</v>
      </c>
      <c r="G50" s="11" t="s">
        <v>154</v>
      </c>
      <c r="H50" s="10" t="s">
        <v>155</v>
      </c>
    </row>
    <row r="51" spans="1:8" x14ac:dyDescent="0.25">
      <c r="A51" s="12" t="s">
        <v>156</v>
      </c>
      <c r="B51" s="7" t="str">
        <f>VLOOKUP(A51,'[1]NORMALIZACION PROGRAMAS'!$B:$C,2,0)</f>
        <v>EMBA ESP</v>
      </c>
      <c r="C51" s="8" t="s">
        <v>139</v>
      </c>
      <c r="D51" s="8" t="s">
        <v>9</v>
      </c>
      <c r="E51" s="19" t="s">
        <v>157</v>
      </c>
      <c r="F51" s="10" t="s">
        <v>156</v>
      </c>
      <c r="G51" s="11" t="s">
        <v>158</v>
      </c>
      <c r="H51" s="10" t="s">
        <v>159</v>
      </c>
    </row>
    <row r="52" spans="1:8" x14ac:dyDescent="0.25">
      <c r="A52" s="12" t="s">
        <v>160</v>
      </c>
      <c r="B52" s="7" t="str">
        <f>VLOOKUP(A52,'[1]NORMALIZACION PROGRAMAS'!$B:$C,2,0)</f>
        <v>GMBA</v>
      </c>
      <c r="C52" s="8" t="s">
        <v>139</v>
      </c>
      <c r="D52" s="8" t="s">
        <v>9</v>
      </c>
      <c r="E52" s="19" t="s">
        <v>157</v>
      </c>
      <c r="F52" s="10" t="s">
        <v>160</v>
      </c>
      <c r="G52" s="11" t="s">
        <v>160</v>
      </c>
      <c r="H52" s="10" t="s">
        <v>161</v>
      </c>
    </row>
    <row r="53" spans="1:8" x14ac:dyDescent="0.25">
      <c r="A53" s="20" t="s">
        <v>162</v>
      </c>
      <c r="B53" s="7" t="str">
        <f>VLOOKUP(A53,'[1]NORMALIZACION PROGRAMAS'!$B:$C,2,0)</f>
        <v>TMBA</v>
      </c>
      <c r="C53" s="21" t="s">
        <v>139</v>
      </c>
      <c r="D53" s="21" t="s">
        <v>9</v>
      </c>
      <c r="E53" s="22" t="s">
        <v>157</v>
      </c>
      <c r="F53" s="23" t="s">
        <v>162</v>
      </c>
      <c r="G53" s="24" t="s">
        <v>162</v>
      </c>
      <c r="H53" s="10" t="s">
        <v>163</v>
      </c>
    </row>
    <row r="55" spans="1:8" x14ac:dyDescent="0.25">
      <c r="E55"/>
      <c r="F55"/>
      <c r="G55"/>
      <c r="H55"/>
    </row>
  </sheetData>
  <conditionalFormatting sqref="A3">
    <cfRule type="duplicateValues" dxfId="12" priority="8"/>
  </conditionalFormatting>
  <conditionalFormatting sqref="A21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A24:A25"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</conditionalFormatting>
  <conditionalFormatting sqref="A26:A27 A13:A15 A2:B2 A29:A45 A4:A9 A22:A23 A17:A20 A47 A49:A53 B3:B53">
    <cfRule type="duplicateValues" dxfId="1" priority="15"/>
  </conditionalFormatting>
  <conditionalFormatting sqref="A28">
    <cfRule type="duplicateValues" dxfId="0" priority="9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32D84D-91B4-4450-ADE6-4641CDFC3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2026-07-30T10:16:43Z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